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my\Desktop\"/>
    </mc:Choice>
  </mc:AlternateContent>
  <bookViews>
    <workbookView xWindow="0" yWindow="0" windowWidth="23040" windowHeight="9396"/>
  </bookViews>
  <sheets>
    <sheet name="First Method" sheetId="1" r:id="rId1"/>
    <sheet name="Second Method" sheetId="3" r:id="rId2"/>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0" i="1" l="1"/>
  <c r="E22" i="3" l="1"/>
  <c r="C22" i="3"/>
  <c r="B22" i="3"/>
  <c r="E21" i="3"/>
  <c r="C21" i="3"/>
  <c r="B21" i="3"/>
  <c r="E20" i="3"/>
  <c r="C20" i="3"/>
  <c r="B20" i="3"/>
  <c r="E19" i="3"/>
  <c r="C19" i="3"/>
  <c r="B19" i="3"/>
  <c r="E18" i="3"/>
  <c r="C18" i="3"/>
  <c r="B18" i="3"/>
  <c r="E17" i="3"/>
  <c r="C17" i="3"/>
  <c r="B17" i="3"/>
  <c r="E16" i="3"/>
  <c r="C16" i="3"/>
  <c r="B16" i="3"/>
  <c r="E15" i="3"/>
  <c r="C15" i="3"/>
  <c r="B15" i="3"/>
  <c r="E14" i="3"/>
  <c r="C14" i="3"/>
  <c r="B14" i="3"/>
  <c r="E13" i="3"/>
  <c r="C13" i="3"/>
  <c r="B13" i="3"/>
  <c r="E12" i="3"/>
  <c r="C12" i="3"/>
  <c r="B12" i="3"/>
  <c r="E11" i="3"/>
  <c r="C11" i="3"/>
  <c r="B11" i="3"/>
  <c r="H10" i="3"/>
  <c r="D12" i="3" s="1"/>
  <c r="E10" i="3"/>
  <c r="C10" i="3"/>
  <c r="B10" i="3"/>
  <c r="E9" i="3"/>
  <c r="C9" i="3"/>
  <c r="B9" i="3"/>
  <c r="E8" i="3"/>
  <c r="C8" i="3"/>
  <c r="B8" i="3"/>
  <c r="E7" i="3"/>
  <c r="C7" i="3"/>
  <c r="B7" i="3"/>
  <c r="E6" i="3"/>
  <c r="C6" i="3"/>
  <c r="B6" i="3"/>
  <c r="E5" i="3"/>
  <c r="C5" i="3"/>
  <c r="B5" i="3"/>
  <c r="E4" i="3"/>
  <c r="C4" i="3"/>
  <c r="B4" i="3"/>
  <c r="E3" i="3"/>
  <c r="C3" i="3"/>
  <c r="B3" i="3"/>
  <c r="E2" i="3"/>
  <c r="C2" i="3"/>
  <c r="B2" i="3"/>
  <c r="D7" i="3" l="1"/>
  <c r="D13" i="3"/>
  <c r="D19" i="3"/>
  <c r="D3" i="3"/>
  <c r="D11" i="3"/>
  <c r="D17" i="3"/>
  <c r="D5" i="3"/>
  <c r="D21" i="3"/>
  <c r="D9" i="3"/>
  <c r="D2" i="3"/>
  <c r="D4" i="3"/>
  <c r="D6" i="3"/>
  <c r="D8" i="3"/>
  <c r="D10" i="3"/>
  <c r="D14" i="3"/>
  <c r="D16" i="3"/>
  <c r="H11" i="3" s="1"/>
  <c r="D18" i="3"/>
  <c r="D20" i="3"/>
  <c r="D22" i="3"/>
  <c r="D15" i="3"/>
  <c r="C17" i="1"/>
  <c r="E3" i="1"/>
  <c r="E4" i="1"/>
  <c r="E5" i="1"/>
  <c r="E6" i="1"/>
  <c r="E7" i="1"/>
  <c r="E8" i="1"/>
  <c r="E9" i="1"/>
  <c r="E10" i="1"/>
  <c r="E11" i="1"/>
  <c r="E12" i="1"/>
  <c r="E13" i="1"/>
  <c r="E14" i="1"/>
  <c r="E15" i="1"/>
  <c r="E16" i="1"/>
  <c r="E17" i="1"/>
  <c r="E18" i="1"/>
  <c r="E19" i="1"/>
  <c r="E20" i="1"/>
  <c r="E21" i="1"/>
  <c r="E22" i="1"/>
  <c r="E2" i="1"/>
  <c r="D9" i="1" l="1"/>
  <c r="C18" i="1"/>
  <c r="C19" i="1"/>
  <c r="C20" i="1"/>
  <c r="C21" i="1"/>
  <c r="C22" i="1"/>
  <c r="C2" i="1"/>
  <c r="C5" i="1"/>
  <c r="B3" i="1" l="1"/>
  <c r="B4" i="1"/>
  <c r="B5" i="1"/>
  <c r="B6" i="1"/>
  <c r="B7" i="1"/>
  <c r="B8" i="1"/>
  <c r="B9" i="1"/>
  <c r="B10" i="1"/>
  <c r="B11" i="1"/>
  <c r="B12" i="1"/>
  <c r="B13" i="1"/>
  <c r="B14" i="1"/>
  <c r="B15" i="1"/>
  <c r="B16" i="1"/>
  <c r="B17" i="1"/>
  <c r="B18" i="1"/>
  <c r="B19" i="1"/>
  <c r="B20" i="1"/>
  <c r="B21" i="1"/>
  <c r="B22" i="1"/>
  <c r="B2" i="1"/>
  <c r="C3" i="1"/>
  <c r="C4" i="1"/>
  <c r="C6" i="1"/>
  <c r="C7" i="1"/>
  <c r="C8" i="1"/>
  <c r="C9" i="1"/>
  <c r="C10" i="1"/>
  <c r="C11" i="1"/>
  <c r="C12" i="1"/>
  <c r="C13" i="1"/>
  <c r="C14" i="1"/>
  <c r="C15" i="1"/>
  <c r="C16" i="1"/>
  <c r="D7" i="1"/>
  <c r="D13" i="1" l="1"/>
  <c r="D12" i="1"/>
  <c r="D21" i="1"/>
  <c r="D6" i="1"/>
  <c r="D14" i="1"/>
  <c r="D22" i="1"/>
  <c r="D20" i="1"/>
  <c r="D5" i="1"/>
  <c r="D17" i="1"/>
  <c r="D4" i="1"/>
  <c r="D16" i="1"/>
  <c r="D19" i="1"/>
  <c r="D11" i="1"/>
  <c r="D3" i="1"/>
  <c r="D18" i="1"/>
  <c r="D10" i="1"/>
  <c r="D8" i="1"/>
  <c r="D2" i="1"/>
  <c r="D15" i="1"/>
  <c r="H11" i="1"/>
</calcChain>
</file>

<file path=xl/sharedStrings.xml><?xml version="1.0" encoding="utf-8"?>
<sst xmlns="http://schemas.openxmlformats.org/spreadsheetml/2006/main" count="33" uniqueCount="17">
  <si>
    <t>Time</t>
  </si>
  <si>
    <t>xo-runner</t>
  </si>
  <si>
    <t>yo-runner</t>
  </si>
  <si>
    <t>vox-runner</t>
  </si>
  <si>
    <t>voy-runner</t>
  </si>
  <si>
    <t>vox-boat</t>
  </si>
  <si>
    <t>g</t>
  </si>
  <si>
    <t>twait</t>
  </si>
  <si>
    <t>xo-boat</t>
  </si>
  <si>
    <t>boat-runner difference @ landing</t>
  </si>
  <si>
    <t>boat's velocity*wait time</t>
  </si>
  <si>
    <t>Vertical Runner Position (Y)</t>
  </si>
  <si>
    <t>Horizontal Boat Position (X)</t>
  </si>
  <si>
    <t>Vertical Boat Position (Y)</t>
  </si>
  <si>
    <t>Horizontal Runner Position (X)</t>
  </si>
  <si>
    <t>g boat</t>
  </si>
  <si>
    <t>at time = 1.4 sec</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</si>
</sst>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sz val="11"/>
      <color theme="0"/>
      <name val="Calibri"/>
      <family val="2"/>
      <scheme val="minor"/>
    </font>
    <font>
      <sz val="11"/>
      <color rgb="FFFF0000"/>
      <name val="Calibri"/>
      <family val="2"/>
    </font>
  </fonts>
  <fills count="10">
    <fill>
      <patternFill patternType="none"/>
    </fill>
    <fill>
      <patternFill patternType="gray125"/>
    </fill>
    <fill>
      <patternFill patternType="solid">
        <fgColor theme="6" tint="0.59999389629810485"/>
        <bgColor indexed="65"/>
      </patternFill>
    </fill>
    <fill>
      <patternFill patternType="solid">
        <fgColor theme="7"/>
      </patternFill>
    </fill>
    <fill>
      <patternFill patternType="solid">
        <fgColor theme="7" tint="0.59999389629810485"/>
        <bgColor indexed="65"/>
      </patternFill>
    </fill>
    <fill>
      <patternFill patternType="solid">
        <fgColor theme="8"/>
      </patternFill>
    </fill>
    <fill>
      <patternFill patternType="solid">
        <fgColor theme="9"/>
      </patternFill>
    </fill>
    <fill>
      <patternFill patternType="solid">
        <fgColor theme="9" tint="0.59999389629810485"/>
        <bgColor indexed="65"/>
      </patternFill>
    </fill>
    <fill>
      <patternFill patternType="solid">
        <fgColor rgb="FFFF9933"/>
        <bgColor indexed="64"/>
      </patternFill>
    </fill>
    <fill>
      <patternFill patternType="solid">
        <fgColor theme="0" tint="-0.14999847407452621"/>
        <bgColor indexed="64"/>
      </patternFill>
    </fill>
  </fills>
  <borders count="1">
    <border>
      <left/>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1"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1" fillId="7" borderId="0" applyNumberFormat="0" applyBorder="0" applyAlignment="0" applyProtection="0"/>
  </cellStyleXfs>
  <cellXfs count="10">
    <xf numFmtId="0" fontId="0" fillId="0" borderId="0" xfId="0"/>
    <xf numFmtId="0" fontId="0" fillId="0" borderId="0" xfId="0" applyAlignment="1">
      <alignment horizontal="center"/>
    </xf>
    <xf numFmtId="0" fontId="1" fillId="2" borderId="0" xfId="1" applyAlignment="1">
      <alignment horizontal="center"/>
    </xf>
    <xf numFmtId="0" fontId="2" fillId="3" borderId="0" xfId="2" applyAlignment="1">
      <alignment horizontal="center"/>
    </xf>
    <xf numFmtId="0" fontId="2" fillId="5" borderId="0" xfId="4" applyAlignment="1">
      <alignment horizontal="center"/>
    </xf>
    <xf numFmtId="0" fontId="1" fillId="4" borderId="0" xfId="3" applyAlignment="1">
      <alignment horizontal="center"/>
    </xf>
    <xf numFmtId="0" fontId="2" fillId="6" borderId="0" xfId="5" applyAlignment="1">
      <alignment horizontal="center"/>
    </xf>
    <xf numFmtId="0" fontId="1" fillId="7" borderId="0" xfId="6" applyAlignment="1">
      <alignment horizontal="center"/>
    </xf>
    <xf numFmtId="0" fontId="0" fillId="8" borderId="0" xfId="0" applyFill="1" applyAlignment="1">
      <alignment horizontal="center"/>
    </xf>
    <xf numFmtId="0" fontId="0" fillId="9" borderId="0" xfId="0" applyFill="1" applyAlignment="1">
      <alignment horizontal="center"/>
    </xf>
  </cellXfs>
  <cellStyles count="7">
    <cellStyle name="40% - Accent3" xfId="1" builtinId="39"/>
    <cellStyle name="40% - Accent4" xfId="3" builtinId="43"/>
    <cellStyle name="40% - Accent6" xfId="6" builtinId="51"/>
    <cellStyle name="Accent4" xfId="2" builtinId="41"/>
    <cellStyle name="Accent5" xfId="4" builtinId="45"/>
    <cellStyle name="Accent6" xfId="5" builtinId="49"/>
    <cellStyle name="Normal" xfId="0" builtinId="0"/>
  </cellStyles>
  <dxfs count="0"/>
  <tableStyles count="0" defaultTableStyle="TableStyleMedium2" defaultPivotStyle="PivotStyleLight16"/>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Time Series Plot - Time v.s. X-Runner &amp; X-Boat Position</a:t>
            </a:r>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42050802145552E-2"/>
          <c:y val="0.32434353644983566"/>
          <c:w val="0.91495794919785445"/>
          <c:h val="0.61061602941524207"/>
        </c:manualLayout>
      </c:layout>
      <c:lineChart>
        <c:grouping val="standard"/>
        <c:varyColors val="0"/>
        <c:ser>
          <c:idx val="1"/>
          <c:order val="0"/>
          <c:tx>
            <c:strRef>
              <c:f>'First Method'!$B$1</c:f>
              <c:strCache>
                <c:ptCount val="1"/>
                <c:pt idx="0">
                  <c:v>Horizontal Runner Position (X)</c:v>
                </c:pt>
              </c:strCache>
            </c:strRef>
          </c:tx>
          <c:spPr>
            <a:ln w="22225" cap="rnd">
              <a:solidFill>
                <a:schemeClr val="accent4"/>
              </a:solidFill>
              <a:round/>
            </a:ln>
            <a:effectLst/>
          </c:spPr>
          <c:marker>
            <c:symbol val="square"/>
            <c:size val="6"/>
            <c:spPr>
              <a:solidFill>
                <a:schemeClr val="accent4"/>
              </a:solidFill>
              <a:ln w="9525">
                <a:solidFill>
                  <a:schemeClr val="accent4"/>
                </a:solidFill>
                <a:round/>
              </a:ln>
              <a:effectLst/>
            </c:spPr>
          </c:marker>
          <c:dPt>
            <c:idx val="20"/>
            <c:marker>
              <c:symbol val="square"/>
              <c:size val="6"/>
              <c:spPr>
                <a:solidFill>
                  <a:schemeClr val="accent4"/>
                </a:solidFill>
                <a:ln w="9525">
                  <a:solidFill>
                    <a:schemeClr val="accent4"/>
                  </a:solidFill>
                  <a:round/>
                </a:ln>
                <a:effectLst/>
              </c:spPr>
            </c:marker>
            <c:bubble3D val="0"/>
          </c:dPt>
          <c:cat>
            <c:numRef>
              <c:f>'First Method'!$A$2:$A$22</c:f>
              <c:numCache>
                <c:formatCode>General</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'First Method'!$B$2:$B$22</c:f>
              <c:numCache>
                <c:formatCode>General</c:formatCode>
                <c:ptCount val="21"/>
                <c:pt idx="0">
                  <c:v>20</c:v>
                </c:pt>
                <c:pt idx="1">
                  <c:v>20.43</c:v>
                </c:pt>
                <c:pt idx="2">
                  <c:v>20.86</c:v>
                </c:pt>
                <c:pt idx="3">
                  <c:v>21.29</c:v>
                </c:pt>
                <c:pt idx="4">
                  <c:v>21.72</c:v>
                </c:pt>
                <c:pt idx="5">
                  <c:v>22.15</c:v>
                </c:pt>
                <c:pt idx="6">
                  <c:v>22.58</c:v>
                </c:pt>
                <c:pt idx="7">
                  <c:v>23.009999999999998</c:v>
                </c:pt>
                <c:pt idx="8">
                  <c:v>23.44</c:v>
                </c:pt>
                <c:pt idx="9">
                  <c:v>23.87</c:v>
                </c:pt>
                <c:pt idx="10">
                  <c:v>24.3</c:v>
                </c:pt>
                <c:pt idx="11">
                  <c:v>24.73</c:v>
                </c:pt>
                <c:pt idx="12">
                  <c:v>25.16</c:v>
                </c:pt>
                <c:pt idx="13">
                  <c:v>25.59</c:v>
                </c:pt>
                <c:pt idx="14">
                  <c:v>26.02</c:v>
                </c:pt>
                <c:pt idx="15">
                  <c:v>26.45</c:v>
                </c:pt>
                <c:pt idx="16">
                  <c:v>26.88</c:v>
                </c:pt>
                <c:pt idx="17">
                  <c:v>27.31</c:v>
                </c:pt>
                <c:pt idx="18">
                  <c:v>27.740000000000002</c:v>
                </c:pt>
                <c:pt idx="19">
                  <c:v>28.17</c:v>
                </c:pt>
                <c:pt idx="20">
                  <c:v>28.6</c:v>
                </c:pt>
              </c:numCache>
            </c:numRef>
          </c:val>
          <c:smooth val="0"/>
        </c:ser>
        <c:ser>
          <c:idx val="2"/>
          <c:order val="1"/>
          <c:tx>
            <c:strRef>
              <c:f>'First Method'!$D$1</c:f>
              <c:strCache>
                <c:ptCount val="1"/>
                <c:pt idx="0">
                  <c:v>Horizontal Boat Position (X)</c:v>
                </c:pt>
              </c:strCache>
            </c:strRef>
          </c:tx>
          <c:spPr>
            <a:ln w="22225" cap="rnd">
              <a:solidFill>
                <a:schemeClr val="accent6"/>
              </a:solidFill>
              <a:round/>
            </a:ln>
            <a:effectLst/>
          </c:spPr>
          <c:marker>
            <c:symbol val="triangle"/>
            <c:size val="6"/>
            <c:spPr>
              <a:solidFill>
                <a:schemeClr val="accent6"/>
              </a:solidFill>
              <a:ln w="9525">
                <a:solidFill>
                  <a:schemeClr val="accent6"/>
                </a:solidFill>
                <a:round/>
              </a:ln>
              <a:effectLst/>
            </c:spPr>
          </c:marker>
          <c:cat>
            <c:numRef>
              <c:f>'First Method'!$A$2:$A$22</c:f>
              <c:numCache>
                <c:formatCode>General</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'First Method'!$D$2:$D$22</c:f>
              <c:numCache>
                <c:formatCode>General</c:formatCode>
                <c:ptCount val="21"/>
                <c:pt idx="0">
                  <c:v>12.019999999999998</c:v>
                </c:pt>
                <c:pt idx="1">
                  <c:v>13.019999999999998</c:v>
                </c:pt>
                <c:pt idx="2">
                  <c:v>14.019999999999998</c:v>
                </c:pt>
                <c:pt idx="3">
                  <c:v>15.019999999999998</c:v>
                </c:pt>
                <c:pt idx="4">
                  <c:v>16.019999999999996</c:v>
                </c:pt>
                <c:pt idx="5">
                  <c:v>17.019999999999996</c:v>
                </c:pt>
                <c:pt idx="6">
                  <c:v>18.019999999999996</c:v>
                </c:pt>
                <c:pt idx="7">
                  <c:v>19.019999999999996</c:v>
                </c:pt>
                <c:pt idx="8">
                  <c:v>20.019999999999996</c:v>
                </c:pt>
                <c:pt idx="9">
                  <c:v>21.019999999999996</c:v>
                </c:pt>
                <c:pt idx="10">
                  <c:v>22.019999999999996</c:v>
                </c:pt>
                <c:pt idx="11">
                  <c:v>23.019999999999996</c:v>
                </c:pt>
                <c:pt idx="12">
                  <c:v>24.019999999999996</c:v>
                </c:pt>
                <c:pt idx="13">
                  <c:v>25.019999999999996</c:v>
                </c:pt>
                <c:pt idx="14">
                  <c:v>26.019999999999996</c:v>
                </c:pt>
                <c:pt idx="15">
                  <c:v>27.019999999999996</c:v>
                </c:pt>
                <c:pt idx="16">
                  <c:v>28.019999999999996</c:v>
                </c:pt>
                <c:pt idx="17">
                  <c:v>29.019999999999996</c:v>
                </c:pt>
                <c:pt idx="18">
                  <c:v>30.019999999999996</c:v>
                </c:pt>
                <c:pt idx="19">
                  <c:v>31.019999999999996</c:v>
                </c:pt>
                <c:pt idx="20">
                  <c:v>32.019999999999996</c:v>
                </c:pt>
              </c:numCache>
            </c:numRef>
          </c:val>
          <c:smooth val="0"/>
        </c:ser>
        <c:dLbls>
          <c:showLegendKey val="0"/>
          <c:showVal val="0"/>
          <c:showCatName val="0"/>
          <c:showSerName val="0"/>
          <c:showPercent val="0"/>
          <c:showBubbleSize val="0"/>
        </c:dLbls>
        <c:marker val="1"/>
        <c:smooth val="0"/>
        <c:axId val="380012280"/>
        <c:axId val="380014240"/>
      </c:lineChart>
      <c:catAx>
        <c:axId val="38001228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Time</a:t>
                </a:r>
              </a:p>
            </c:rich>
          </c:tx>
          <c:layout>
            <c:manualLayout>
              <c:xMode val="edge"/>
              <c:yMode val="edge"/>
              <c:x val="0.47537177418040139"/>
              <c:y val="0.90549629877825566"/>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380014240"/>
        <c:crosses val="autoZero"/>
        <c:auto val="1"/>
        <c:lblAlgn val="ctr"/>
        <c:lblOffset val="100"/>
        <c:noMultiLvlLbl val="0"/>
      </c:catAx>
      <c:valAx>
        <c:axId val="380014240"/>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position</a:t>
                </a:r>
              </a:p>
            </c:rich>
          </c:tx>
          <c:layout>
            <c:manualLayout>
              <c:xMode val="edge"/>
              <c:yMode val="edge"/>
              <c:x val="1.2422360248447204E-2"/>
              <c:y val="0.49442148632130206"/>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01228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Trajectory Plot - X-Runner</a:t>
            </a:r>
            <a:r>
              <a:rPr lang="en-US" baseline="0"/>
              <a:t> v.s. Y-Runner &amp; Boat position</a:t>
            </a:r>
            <a:endParaRPr lang="en-US"/>
          </a:p>
        </c:rich>
      </c:tx>
      <c:layout>
        <c:manualLayout>
          <c:xMode val="edge"/>
          <c:yMode val="edge"/>
          <c:x val="0.14126656869841131"/>
          <c:y val="2.9607142480683891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5821952440974596E-2"/>
          <c:y val="0.18496112370604631"/>
          <c:w val="0.93406636160507139"/>
          <c:h val="0.76135959854540058"/>
        </c:manualLayout>
      </c:layout>
      <c:scatterChart>
        <c:scatterStyle val="lineMarker"/>
        <c:varyColors val="0"/>
        <c:ser>
          <c:idx val="1"/>
          <c:order val="0"/>
          <c:tx>
            <c:v>Runner Position</c:v>
          </c:tx>
          <c:spPr>
            <a:ln w="22225" cap="rnd">
              <a:solidFill>
                <a:schemeClr val="accent4"/>
              </a:solidFill>
              <a:round/>
            </a:ln>
            <a:effectLst/>
          </c:spPr>
          <c:marker>
            <c:symbol val="square"/>
            <c:size val="6"/>
            <c:spPr>
              <a:solidFill>
                <a:schemeClr val="accent4"/>
              </a:solidFill>
              <a:ln w="9525">
                <a:solidFill>
                  <a:schemeClr val="accent4"/>
                </a:solidFill>
                <a:round/>
              </a:ln>
              <a:effectLst/>
            </c:spPr>
          </c:marker>
          <c:xVal>
            <c:numRef>
              <c:f>'First Method'!$B$2:$B$22</c:f>
              <c:numCache>
                <c:formatCode>General</c:formatCode>
                <c:ptCount val="21"/>
                <c:pt idx="0">
                  <c:v>20</c:v>
                </c:pt>
                <c:pt idx="1">
                  <c:v>20.43</c:v>
                </c:pt>
                <c:pt idx="2">
                  <c:v>20.86</c:v>
                </c:pt>
                <c:pt idx="3">
                  <c:v>21.29</c:v>
                </c:pt>
                <c:pt idx="4">
                  <c:v>21.72</c:v>
                </c:pt>
                <c:pt idx="5">
                  <c:v>22.15</c:v>
                </c:pt>
                <c:pt idx="6">
                  <c:v>22.58</c:v>
                </c:pt>
                <c:pt idx="7">
                  <c:v>23.009999999999998</c:v>
                </c:pt>
                <c:pt idx="8">
                  <c:v>23.44</c:v>
                </c:pt>
                <c:pt idx="9">
                  <c:v>23.87</c:v>
                </c:pt>
                <c:pt idx="10">
                  <c:v>24.3</c:v>
                </c:pt>
                <c:pt idx="11">
                  <c:v>24.73</c:v>
                </c:pt>
                <c:pt idx="12">
                  <c:v>25.16</c:v>
                </c:pt>
                <c:pt idx="13">
                  <c:v>25.59</c:v>
                </c:pt>
                <c:pt idx="14">
                  <c:v>26.02</c:v>
                </c:pt>
                <c:pt idx="15">
                  <c:v>26.45</c:v>
                </c:pt>
                <c:pt idx="16">
                  <c:v>26.88</c:v>
                </c:pt>
                <c:pt idx="17">
                  <c:v>27.31</c:v>
                </c:pt>
                <c:pt idx="18">
                  <c:v>27.740000000000002</c:v>
                </c:pt>
                <c:pt idx="19">
                  <c:v>28.17</c:v>
                </c:pt>
                <c:pt idx="20">
                  <c:v>28.6</c:v>
                </c:pt>
              </c:numCache>
            </c:numRef>
          </c:xVal>
          <c:yVal>
            <c:numRef>
              <c:f>'First Method'!$C$2:$C$22</c:f>
              <c:numCache>
                <c:formatCode>General</c:formatCode>
                <c:ptCount val="21"/>
                <c:pt idx="0">
                  <c:v>9.6137999999999995</c:v>
                </c:pt>
                <c:pt idx="1">
                  <c:v>9.5647500000000001</c:v>
                </c:pt>
                <c:pt idx="2">
                  <c:v>9.4176000000000002</c:v>
                </c:pt>
                <c:pt idx="3">
                  <c:v>9.1723499999999998</c:v>
                </c:pt>
                <c:pt idx="4">
                  <c:v>8.8289999999999988</c:v>
                </c:pt>
                <c:pt idx="5">
                  <c:v>8.3875499999999992</c:v>
                </c:pt>
                <c:pt idx="6">
                  <c:v>7.847999999999999</c:v>
                </c:pt>
                <c:pt idx="7">
                  <c:v>7.21035</c:v>
                </c:pt>
                <c:pt idx="8">
                  <c:v>6.4745999999999988</c:v>
                </c:pt>
                <c:pt idx="9">
                  <c:v>5.6407499999999988</c:v>
                </c:pt>
                <c:pt idx="10">
                  <c:v>4.7087999999999992</c:v>
                </c:pt>
                <c:pt idx="11">
                  <c:v>3.6787499999999982</c:v>
                </c:pt>
                <c:pt idx="12">
                  <c:v>2.5505999999999993</c:v>
                </c:pt>
                <c:pt idx="13">
                  <c:v>1.324349999999999</c:v>
                </c:pt>
                <c:pt idx="14">
                  <c:v>0</c:v>
                </c:pt>
                <c:pt idx="15">
                  <c:v>-1.4224500000000013</c:v>
                </c:pt>
                <c:pt idx="16">
                  <c:v>-2.9430000000000032</c:v>
                </c:pt>
                <c:pt idx="17">
                  <c:v>-4.5616500000000002</c:v>
                </c:pt>
                <c:pt idx="18">
                  <c:v>-6.2784000000000031</c:v>
                </c:pt>
                <c:pt idx="19">
                  <c:v>-8.0932499999999994</c:v>
                </c:pt>
                <c:pt idx="20">
                  <c:v>-10.006200000000002</c:v>
                </c:pt>
              </c:numCache>
            </c:numRef>
          </c:yVal>
          <c:smooth val="0"/>
        </c:ser>
        <c:ser>
          <c:idx val="2"/>
          <c:order val="1"/>
          <c:tx>
            <c:v>Boat Position</c:v>
          </c:tx>
          <c:spPr>
            <a:ln w="22225" cap="rnd">
              <a:solidFill>
                <a:schemeClr val="accent6"/>
              </a:solidFill>
              <a:round/>
            </a:ln>
            <a:effectLst/>
          </c:spPr>
          <c:marker>
            <c:symbol val="triangle"/>
            <c:size val="6"/>
            <c:spPr>
              <a:solidFill>
                <a:schemeClr val="accent6"/>
              </a:solidFill>
              <a:ln w="9525">
                <a:solidFill>
                  <a:schemeClr val="accent6"/>
                </a:solidFill>
                <a:round/>
              </a:ln>
              <a:effectLst/>
            </c:spPr>
          </c:marker>
          <c:xVal>
            <c:numRef>
              <c:f>'First Method'!$D$2:$D$22</c:f>
              <c:numCache>
                <c:formatCode>General</c:formatCode>
                <c:ptCount val="21"/>
                <c:pt idx="0">
                  <c:v>12.019999999999998</c:v>
                </c:pt>
                <c:pt idx="1">
                  <c:v>13.019999999999998</c:v>
                </c:pt>
                <c:pt idx="2">
                  <c:v>14.019999999999998</c:v>
                </c:pt>
                <c:pt idx="3">
                  <c:v>15.019999999999998</c:v>
                </c:pt>
                <c:pt idx="4">
                  <c:v>16.019999999999996</c:v>
                </c:pt>
                <c:pt idx="5">
                  <c:v>17.019999999999996</c:v>
                </c:pt>
                <c:pt idx="6">
                  <c:v>18.019999999999996</c:v>
                </c:pt>
                <c:pt idx="7">
                  <c:v>19.019999999999996</c:v>
                </c:pt>
                <c:pt idx="8">
                  <c:v>20.019999999999996</c:v>
                </c:pt>
                <c:pt idx="9">
                  <c:v>21.019999999999996</c:v>
                </c:pt>
                <c:pt idx="10">
                  <c:v>22.019999999999996</c:v>
                </c:pt>
                <c:pt idx="11">
                  <c:v>23.019999999999996</c:v>
                </c:pt>
                <c:pt idx="12">
                  <c:v>24.019999999999996</c:v>
                </c:pt>
                <c:pt idx="13">
                  <c:v>25.019999999999996</c:v>
                </c:pt>
                <c:pt idx="14">
                  <c:v>26.019999999999996</c:v>
                </c:pt>
                <c:pt idx="15">
                  <c:v>27.019999999999996</c:v>
                </c:pt>
                <c:pt idx="16">
                  <c:v>28.019999999999996</c:v>
                </c:pt>
                <c:pt idx="17">
                  <c:v>29.019999999999996</c:v>
                </c:pt>
                <c:pt idx="18">
                  <c:v>30.019999999999996</c:v>
                </c:pt>
                <c:pt idx="19">
                  <c:v>31.019999999999996</c:v>
                </c:pt>
                <c:pt idx="20">
                  <c:v>32.019999999999996</c:v>
                </c:pt>
              </c:numCache>
            </c:numRef>
          </c:xVal>
          <c:yVal>
            <c:numRef>
              <c:f>'First Method'!$E$2:$E$22</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ser>
        <c:dLbls>
          <c:showLegendKey val="0"/>
          <c:showVal val="0"/>
          <c:showCatName val="0"/>
          <c:showSerName val="0"/>
          <c:showPercent val="0"/>
          <c:showBubbleSize val="0"/>
        </c:dLbls>
        <c:axId val="380017376"/>
        <c:axId val="380017768"/>
      </c:scatterChart>
      <c:valAx>
        <c:axId val="380017376"/>
        <c:scaling>
          <c:orientation val="minMax"/>
          <c:max val="3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baseline="0"/>
                  <a:t>position</a:t>
                </a:r>
                <a:endParaRPr lang="en-US"/>
              </a:p>
            </c:rich>
          </c:tx>
          <c:layout>
            <c:manualLayout>
              <c:xMode val="edge"/>
              <c:yMode val="edge"/>
              <c:x val="0.48267581605034809"/>
              <c:y val="0.93662560248682614"/>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380017768"/>
        <c:crosses val="autoZero"/>
        <c:crossBetween val="midCat"/>
      </c:valAx>
      <c:valAx>
        <c:axId val="380017768"/>
        <c:scaling>
          <c:orientation val="minMax"/>
          <c:max val="10"/>
          <c:min val="-12"/>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position</a:t>
                </a:r>
              </a:p>
            </c:rich>
          </c:tx>
          <c:layout>
            <c:manualLayout>
              <c:xMode val="edge"/>
              <c:yMode val="edge"/>
              <c:x val="9.994954136498339E-3"/>
              <c:y val="0.47952772102147595"/>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017376"/>
        <c:crosses val="autoZero"/>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Time Series Plot - Time v.s. X-Runner &amp; X-Boat Position</a:t>
            </a:r>
          </a:p>
        </c:rich>
      </c:tx>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42050802145552E-2"/>
          <c:y val="0.32434353644983566"/>
          <c:w val="0.91495794919785445"/>
          <c:h val="0.61061602941524207"/>
        </c:manualLayout>
      </c:layout>
      <c:lineChart>
        <c:grouping val="standard"/>
        <c:varyColors val="0"/>
        <c:ser>
          <c:idx val="1"/>
          <c:order val="0"/>
          <c:tx>
            <c:strRef>
              <c:f>'Second Method'!$B$1</c:f>
              <c:strCache>
                <c:ptCount val="1"/>
                <c:pt idx="0">
                  <c:v>Horizontal Runner Position (X)</c:v>
                </c:pt>
              </c:strCache>
            </c:strRef>
          </c:tx>
          <c:spPr>
            <a:ln w="22225" cap="rnd">
              <a:solidFill>
                <a:schemeClr val="accent4"/>
              </a:solidFill>
              <a:round/>
            </a:ln>
            <a:effectLst/>
          </c:spPr>
          <c:marker>
            <c:symbol val="square"/>
            <c:size val="6"/>
            <c:spPr>
              <a:solidFill>
                <a:schemeClr val="accent4"/>
              </a:solidFill>
              <a:ln w="9525">
                <a:solidFill>
                  <a:schemeClr val="accent4"/>
                </a:solidFill>
                <a:round/>
              </a:ln>
              <a:effectLst/>
            </c:spPr>
          </c:marker>
          <c:dPt>
            <c:idx val="20"/>
            <c:marker>
              <c:symbol val="square"/>
              <c:size val="6"/>
              <c:spPr>
                <a:solidFill>
                  <a:schemeClr val="accent4"/>
                </a:solidFill>
                <a:ln w="9525">
                  <a:solidFill>
                    <a:schemeClr val="accent4"/>
                  </a:solidFill>
                  <a:round/>
                </a:ln>
                <a:effectLst/>
              </c:spPr>
            </c:marker>
            <c:bubble3D val="0"/>
          </c:dPt>
          <c:cat>
            <c:numRef>
              <c:f>'Second Method'!$A$2:$A$22</c:f>
              <c:numCache>
                <c:formatCode>General</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'Second Method'!$B$2:$B$22</c:f>
              <c:numCache>
                <c:formatCode>General</c:formatCode>
                <c:ptCount val="21"/>
                <c:pt idx="0">
                  <c:v>20</c:v>
                </c:pt>
                <c:pt idx="1">
                  <c:v>20.43</c:v>
                </c:pt>
                <c:pt idx="2">
                  <c:v>20.86</c:v>
                </c:pt>
                <c:pt idx="3">
                  <c:v>21.29</c:v>
                </c:pt>
                <c:pt idx="4">
                  <c:v>21.72</c:v>
                </c:pt>
                <c:pt idx="5">
                  <c:v>22.15</c:v>
                </c:pt>
                <c:pt idx="6">
                  <c:v>22.58</c:v>
                </c:pt>
                <c:pt idx="7">
                  <c:v>23.009999999999998</c:v>
                </c:pt>
                <c:pt idx="8">
                  <c:v>23.44</c:v>
                </c:pt>
                <c:pt idx="9">
                  <c:v>23.87</c:v>
                </c:pt>
                <c:pt idx="10">
                  <c:v>24.3</c:v>
                </c:pt>
                <c:pt idx="11">
                  <c:v>24.73</c:v>
                </c:pt>
                <c:pt idx="12">
                  <c:v>25.16</c:v>
                </c:pt>
                <c:pt idx="13">
                  <c:v>25.59</c:v>
                </c:pt>
                <c:pt idx="14">
                  <c:v>26.02</c:v>
                </c:pt>
                <c:pt idx="15">
                  <c:v>26.45</c:v>
                </c:pt>
                <c:pt idx="16">
                  <c:v>26.88</c:v>
                </c:pt>
                <c:pt idx="17">
                  <c:v>27.31</c:v>
                </c:pt>
                <c:pt idx="18">
                  <c:v>27.740000000000002</c:v>
                </c:pt>
                <c:pt idx="19">
                  <c:v>28.17</c:v>
                </c:pt>
                <c:pt idx="20">
                  <c:v>28.6</c:v>
                </c:pt>
              </c:numCache>
            </c:numRef>
          </c:val>
          <c:smooth val="0"/>
        </c:ser>
        <c:ser>
          <c:idx val="2"/>
          <c:order val="1"/>
          <c:tx>
            <c:strRef>
              <c:f>'Second Method'!$D$1</c:f>
              <c:strCache>
                <c:ptCount val="1"/>
                <c:pt idx="0">
                  <c:v>Horizontal Boat Position (X)</c:v>
                </c:pt>
              </c:strCache>
            </c:strRef>
          </c:tx>
          <c:spPr>
            <a:ln w="22225" cap="rnd">
              <a:solidFill>
                <a:schemeClr val="accent6"/>
              </a:solidFill>
              <a:round/>
            </a:ln>
            <a:effectLst/>
          </c:spPr>
          <c:marker>
            <c:symbol val="triangle"/>
            <c:size val="6"/>
            <c:spPr>
              <a:solidFill>
                <a:schemeClr val="accent6"/>
              </a:solidFill>
              <a:ln w="9525">
                <a:solidFill>
                  <a:schemeClr val="accent6"/>
                </a:solidFill>
                <a:round/>
              </a:ln>
              <a:effectLst/>
            </c:spPr>
          </c:marker>
          <c:cat>
            <c:numRef>
              <c:f>'Second Method'!$A$2:$A$22</c:f>
              <c:numCache>
                <c:formatCode>General</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'Second Method'!$D$2:$D$22</c:f>
              <c:numCache>
                <c:formatCode>General</c:formatCode>
                <c:ptCount val="21"/>
                <c:pt idx="0">
                  <c:v>12.019999999999998</c:v>
                </c:pt>
                <c:pt idx="1">
                  <c:v>13.019999999999998</c:v>
                </c:pt>
                <c:pt idx="2">
                  <c:v>14.019999999999998</c:v>
                </c:pt>
                <c:pt idx="3">
                  <c:v>15.019999999999998</c:v>
                </c:pt>
                <c:pt idx="4">
                  <c:v>16.019999999999996</c:v>
                </c:pt>
                <c:pt idx="5">
                  <c:v>17.019999999999996</c:v>
                </c:pt>
                <c:pt idx="6">
                  <c:v>18.019999999999996</c:v>
                </c:pt>
                <c:pt idx="7">
                  <c:v>19.019999999999996</c:v>
                </c:pt>
                <c:pt idx="8">
                  <c:v>20.019999999999996</c:v>
                </c:pt>
                <c:pt idx="9">
                  <c:v>21.019999999999996</c:v>
                </c:pt>
                <c:pt idx="10">
                  <c:v>22.019999999999996</c:v>
                </c:pt>
                <c:pt idx="11">
                  <c:v>23.019999999999996</c:v>
                </c:pt>
                <c:pt idx="12">
                  <c:v>24.019999999999996</c:v>
                </c:pt>
                <c:pt idx="13">
                  <c:v>25.019999999999996</c:v>
                </c:pt>
                <c:pt idx="14">
                  <c:v>26.019999999999996</c:v>
                </c:pt>
                <c:pt idx="15">
                  <c:v>27.019999999999996</c:v>
                </c:pt>
                <c:pt idx="16">
                  <c:v>28.019999999999996</c:v>
                </c:pt>
                <c:pt idx="17">
                  <c:v>29.019999999999996</c:v>
                </c:pt>
                <c:pt idx="18">
                  <c:v>30.019999999999996</c:v>
                </c:pt>
                <c:pt idx="19">
                  <c:v>31.019999999999996</c:v>
                </c:pt>
                <c:pt idx="20">
                  <c:v>32.019999999999996</c:v>
                </c:pt>
              </c:numCache>
            </c:numRef>
          </c:val>
          <c:smooth val="0"/>
        </c:ser>
        <c:dLbls>
          <c:showLegendKey val="0"/>
          <c:showVal val="0"/>
          <c:showCatName val="0"/>
          <c:showSerName val="0"/>
          <c:showPercent val="0"/>
          <c:showBubbleSize val="0"/>
        </c:dLbls>
        <c:marker val="1"/>
        <c:smooth val="0"/>
        <c:axId val="380018944"/>
        <c:axId val="383358752"/>
      </c:lineChart>
      <c:catAx>
        <c:axId val="3800189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Time</a:t>
                </a:r>
              </a:p>
            </c:rich>
          </c:tx>
          <c:layout>
            <c:manualLayout>
              <c:xMode val="edge"/>
              <c:yMode val="edge"/>
              <c:x val="0.47537177418040139"/>
              <c:y val="0.90549629877825566"/>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383358752"/>
        <c:crosses val="autoZero"/>
        <c:auto val="1"/>
        <c:lblAlgn val="ctr"/>
        <c:lblOffset val="100"/>
        <c:noMultiLvlLbl val="0"/>
      </c:catAx>
      <c:valAx>
        <c:axId val="383358752"/>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position</a:t>
                </a:r>
              </a:p>
            </c:rich>
          </c:tx>
          <c:layout>
            <c:manualLayout>
              <c:xMode val="edge"/>
              <c:yMode val="edge"/>
              <c:x val="1.2422360248447204E-2"/>
              <c:y val="0.49442148632130206"/>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018944"/>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Trajectory Plot - X-Runner</a:t>
            </a:r>
            <a:r>
              <a:rPr lang="en-US" baseline="0"/>
              <a:t> v.s. Y-Runner &amp; Boat position</a:t>
            </a:r>
            <a:endParaRPr lang="en-US"/>
          </a:p>
        </c:rich>
      </c:tx>
      <c:layout>
        <c:manualLayout>
          <c:xMode val="edge"/>
          <c:yMode val="edge"/>
          <c:x val="0.14126656869841131"/>
          <c:y val="2.9607142480683891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5821952440974596E-2"/>
          <c:y val="0.18496112370604631"/>
          <c:w val="0.93406636160507139"/>
          <c:h val="0.76135959854540058"/>
        </c:manualLayout>
      </c:layout>
      <c:scatterChart>
        <c:scatterStyle val="lineMarker"/>
        <c:varyColors val="0"/>
        <c:ser>
          <c:idx val="1"/>
          <c:order val="0"/>
          <c:tx>
            <c:v>Runner Position</c:v>
          </c:tx>
          <c:spPr>
            <a:ln w="22225" cap="rnd">
              <a:solidFill>
                <a:schemeClr val="accent4"/>
              </a:solidFill>
              <a:round/>
            </a:ln>
            <a:effectLst/>
          </c:spPr>
          <c:marker>
            <c:symbol val="square"/>
            <c:size val="6"/>
            <c:spPr>
              <a:solidFill>
                <a:schemeClr val="accent4"/>
              </a:solidFill>
              <a:ln w="9525">
                <a:solidFill>
                  <a:schemeClr val="accent4"/>
                </a:solidFill>
                <a:round/>
              </a:ln>
              <a:effectLst/>
            </c:spPr>
          </c:marker>
          <c:xVal>
            <c:numRef>
              <c:f>'Second Method'!$B$2:$B$22</c:f>
              <c:numCache>
                <c:formatCode>General</c:formatCode>
                <c:ptCount val="21"/>
                <c:pt idx="0">
                  <c:v>20</c:v>
                </c:pt>
                <c:pt idx="1">
                  <c:v>20.43</c:v>
                </c:pt>
                <c:pt idx="2">
                  <c:v>20.86</c:v>
                </c:pt>
                <c:pt idx="3">
                  <c:v>21.29</c:v>
                </c:pt>
                <c:pt idx="4">
                  <c:v>21.72</c:v>
                </c:pt>
                <c:pt idx="5">
                  <c:v>22.15</c:v>
                </c:pt>
                <c:pt idx="6">
                  <c:v>22.58</c:v>
                </c:pt>
                <c:pt idx="7">
                  <c:v>23.009999999999998</c:v>
                </c:pt>
                <c:pt idx="8">
                  <c:v>23.44</c:v>
                </c:pt>
                <c:pt idx="9">
                  <c:v>23.87</c:v>
                </c:pt>
                <c:pt idx="10">
                  <c:v>24.3</c:v>
                </c:pt>
                <c:pt idx="11">
                  <c:v>24.73</c:v>
                </c:pt>
                <c:pt idx="12">
                  <c:v>25.16</c:v>
                </c:pt>
                <c:pt idx="13">
                  <c:v>25.59</c:v>
                </c:pt>
                <c:pt idx="14">
                  <c:v>26.02</c:v>
                </c:pt>
                <c:pt idx="15">
                  <c:v>26.45</c:v>
                </c:pt>
                <c:pt idx="16">
                  <c:v>26.88</c:v>
                </c:pt>
                <c:pt idx="17">
                  <c:v>27.31</c:v>
                </c:pt>
                <c:pt idx="18">
                  <c:v>27.740000000000002</c:v>
                </c:pt>
                <c:pt idx="19">
                  <c:v>28.17</c:v>
                </c:pt>
                <c:pt idx="20">
                  <c:v>28.6</c:v>
                </c:pt>
              </c:numCache>
            </c:numRef>
          </c:xVal>
          <c:yVal>
            <c:numRef>
              <c:f>'Second Method'!$C$2:$C$22</c:f>
              <c:numCache>
                <c:formatCode>General</c:formatCode>
                <c:ptCount val="21"/>
                <c:pt idx="0">
                  <c:v>9.6137999999999995</c:v>
                </c:pt>
                <c:pt idx="1">
                  <c:v>9.5647500000000001</c:v>
                </c:pt>
                <c:pt idx="2">
                  <c:v>9.4176000000000002</c:v>
                </c:pt>
                <c:pt idx="3">
                  <c:v>9.1723499999999998</c:v>
                </c:pt>
                <c:pt idx="4">
                  <c:v>8.8289999999999988</c:v>
                </c:pt>
                <c:pt idx="5">
                  <c:v>8.3875499999999992</c:v>
                </c:pt>
                <c:pt idx="6">
                  <c:v>7.847999999999999</c:v>
                </c:pt>
                <c:pt idx="7">
                  <c:v>7.21035</c:v>
                </c:pt>
                <c:pt idx="8">
                  <c:v>6.4745999999999988</c:v>
                </c:pt>
                <c:pt idx="9">
                  <c:v>5.6407499999999988</c:v>
                </c:pt>
                <c:pt idx="10">
                  <c:v>4.7087999999999992</c:v>
                </c:pt>
                <c:pt idx="11">
                  <c:v>3.6787499999999982</c:v>
                </c:pt>
                <c:pt idx="12">
                  <c:v>2.5505999999999993</c:v>
                </c:pt>
                <c:pt idx="13">
                  <c:v>1.324349999999999</c:v>
                </c:pt>
                <c:pt idx="14">
                  <c:v>0</c:v>
                </c:pt>
                <c:pt idx="15">
                  <c:v>-1.4224500000000013</c:v>
                </c:pt>
                <c:pt idx="16">
                  <c:v>-2.9430000000000032</c:v>
                </c:pt>
                <c:pt idx="17">
                  <c:v>-4.5616500000000002</c:v>
                </c:pt>
                <c:pt idx="18">
                  <c:v>-6.2784000000000031</c:v>
                </c:pt>
                <c:pt idx="19">
                  <c:v>-8.0932499999999994</c:v>
                </c:pt>
                <c:pt idx="20">
                  <c:v>-10.006200000000002</c:v>
                </c:pt>
              </c:numCache>
            </c:numRef>
          </c:yVal>
          <c:smooth val="0"/>
        </c:ser>
        <c:ser>
          <c:idx val="2"/>
          <c:order val="1"/>
          <c:tx>
            <c:v>Boat Position</c:v>
          </c:tx>
          <c:spPr>
            <a:ln w="22225" cap="rnd">
              <a:solidFill>
                <a:schemeClr val="accent6"/>
              </a:solidFill>
              <a:round/>
            </a:ln>
            <a:effectLst/>
          </c:spPr>
          <c:marker>
            <c:symbol val="triangle"/>
            <c:size val="6"/>
            <c:spPr>
              <a:solidFill>
                <a:schemeClr val="accent6"/>
              </a:solidFill>
              <a:ln w="9525">
                <a:solidFill>
                  <a:schemeClr val="accent6"/>
                </a:solidFill>
                <a:round/>
              </a:ln>
              <a:effectLst/>
            </c:spPr>
          </c:marker>
          <c:xVal>
            <c:numRef>
              <c:f>'Second Method'!$D$2:$D$22</c:f>
              <c:numCache>
                <c:formatCode>General</c:formatCode>
                <c:ptCount val="21"/>
                <c:pt idx="0">
                  <c:v>12.019999999999998</c:v>
                </c:pt>
                <c:pt idx="1">
                  <c:v>13.019999999999998</c:v>
                </c:pt>
                <c:pt idx="2">
                  <c:v>14.019999999999998</c:v>
                </c:pt>
                <c:pt idx="3">
                  <c:v>15.019999999999998</c:v>
                </c:pt>
                <c:pt idx="4">
                  <c:v>16.019999999999996</c:v>
                </c:pt>
                <c:pt idx="5">
                  <c:v>17.019999999999996</c:v>
                </c:pt>
                <c:pt idx="6">
                  <c:v>18.019999999999996</c:v>
                </c:pt>
                <c:pt idx="7">
                  <c:v>19.019999999999996</c:v>
                </c:pt>
                <c:pt idx="8">
                  <c:v>20.019999999999996</c:v>
                </c:pt>
                <c:pt idx="9">
                  <c:v>21.019999999999996</c:v>
                </c:pt>
                <c:pt idx="10">
                  <c:v>22.019999999999996</c:v>
                </c:pt>
                <c:pt idx="11">
                  <c:v>23.019999999999996</c:v>
                </c:pt>
                <c:pt idx="12">
                  <c:v>24.019999999999996</c:v>
                </c:pt>
                <c:pt idx="13">
                  <c:v>25.019999999999996</c:v>
                </c:pt>
                <c:pt idx="14">
                  <c:v>26.019999999999996</c:v>
                </c:pt>
                <c:pt idx="15">
                  <c:v>27.019999999999996</c:v>
                </c:pt>
                <c:pt idx="16">
                  <c:v>28.019999999999996</c:v>
                </c:pt>
                <c:pt idx="17">
                  <c:v>29.019999999999996</c:v>
                </c:pt>
                <c:pt idx="18">
                  <c:v>30.019999999999996</c:v>
                </c:pt>
                <c:pt idx="19">
                  <c:v>31.019999999999996</c:v>
                </c:pt>
                <c:pt idx="20">
                  <c:v>32.019999999999996</c:v>
                </c:pt>
              </c:numCache>
            </c:numRef>
          </c:xVal>
          <c:yVal>
            <c:numRef>
              <c:f>'Second Method'!$E$2:$E$22</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ser>
        <c:dLbls>
          <c:showLegendKey val="0"/>
          <c:showVal val="0"/>
          <c:showCatName val="0"/>
          <c:showSerName val="0"/>
          <c:showPercent val="0"/>
          <c:showBubbleSize val="0"/>
        </c:dLbls>
        <c:axId val="383360712"/>
        <c:axId val="383361888"/>
      </c:scatterChart>
      <c:valAx>
        <c:axId val="383360712"/>
        <c:scaling>
          <c:orientation val="minMax"/>
          <c:max val="3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baseline="0"/>
                  <a:t>position</a:t>
                </a:r>
                <a:endParaRPr lang="en-US"/>
              </a:p>
            </c:rich>
          </c:tx>
          <c:layout>
            <c:manualLayout>
              <c:xMode val="edge"/>
              <c:yMode val="edge"/>
              <c:x val="0.48267581605034809"/>
              <c:y val="0.93662560248682614"/>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383361888"/>
        <c:crosses val="autoZero"/>
        <c:crossBetween val="midCat"/>
      </c:valAx>
      <c:valAx>
        <c:axId val="383361888"/>
        <c:scaling>
          <c:orientation val="minMax"/>
          <c:max val="10"/>
          <c:min val="-12"/>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position</a:t>
                </a:r>
              </a:p>
            </c:rich>
          </c:tx>
          <c:layout>
            <c:manualLayout>
              <c:xMode val="edge"/>
              <c:yMode val="edge"/>
              <c:x val="9.994954136498339E-3"/>
              <c:y val="0.47952772102147595"/>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360712"/>
        <c:crosses val="autoZero"/>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22860</xdr:colOff>
      <xdr:row>27</xdr:row>
      <xdr:rowOff>30480</xdr:rowOff>
    </xdr:from>
    <xdr:to>
      <xdr:col>5</xdr:col>
      <xdr:colOff>228600</xdr:colOff>
      <xdr:row>45</xdr:row>
      <xdr:rowOff>60960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856402</xdr:colOff>
      <xdr:row>26</xdr:row>
      <xdr:rowOff>155152</xdr:rowOff>
    </xdr:from>
    <xdr:to>
      <xdr:col>16</xdr:col>
      <xdr:colOff>85725</xdr:colOff>
      <xdr:row>49</xdr:row>
      <xdr:rowOff>19050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314324</xdr:colOff>
      <xdr:row>0</xdr:row>
      <xdr:rowOff>142875</xdr:rowOff>
    </xdr:from>
    <xdr:to>
      <xdr:col>22</xdr:col>
      <xdr:colOff>135466</xdr:colOff>
      <xdr:row>12</xdr:row>
      <xdr:rowOff>25400</xdr:rowOff>
    </xdr:to>
    <xdr:sp macro="" textlink="">
      <xdr:nvSpPr>
        <xdr:cNvPr id="6" name="TextBox 5"/>
        <xdr:cNvSpPr txBox="1"/>
      </xdr:nvSpPr>
      <xdr:spPr>
        <a:xfrm>
          <a:off x="14419791" y="142875"/>
          <a:ext cx="7745942" cy="2117725"/>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sng"/>
            <a:t>Answers</a:t>
          </a:r>
          <a:r>
            <a:rPr lang="en-US" sz="1100" b="1" i="0" u="sng" baseline="0"/>
            <a:t> for Question #7 ( Wait time = 0  seconds)</a:t>
          </a:r>
        </a:p>
        <a:p>
          <a:endParaRPr lang="en-US" sz="1100" b="1" i="0" u="sng" baseline="0"/>
        </a:p>
        <a:p>
          <a:r>
            <a:rPr lang="en-US" sz="1100" b="0" i="0" u="none" baseline="0"/>
            <a:t>- It will take </a:t>
          </a:r>
          <a:r>
            <a:rPr lang="en-US" sz="1100" b="0" i="0" u="sng" baseline="0"/>
            <a:t>1.4 seconds </a:t>
          </a:r>
          <a:r>
            <a:rPr lang="en-US" sz="1100" b="0" i="0" u="none" baseline="0"/>
            <a:t>for the runner to hit the water.</a:t>
          </a:r>
        </a:p>
        <a:p>
          <a:endParaRPr lang="en-US" sz="1100" b="0" i="0" u="none" baseline="0"/>
        </a:p>
        <a:p>
          <a:r>
            <a:rPr lang="en-US" sz="1100" b="0" i="0" u="none" baseline="0"/>
            <a:t>- The runner's horizontal position when hitting the water is </a:t>
          </a:r>
          <a:r>
            <a:rPr lang="en-US" sz="1100" b="0" i="0" u="sng" baseline="0"/>
            <a:t>26.02 m</a:t>
          </a:r>
          <a:r>
            <a:rPr lang="en-US" sz="1100" b="0" i="0" u="none" baseline="0"/>
            <a:t>.</a:t>
          </a:r>
        </a:p>
        <a:p>
          <a:endParaRPr lang="en-US" sz="1100" b="0" i="0" u="none" baseline="0"/>
        </a:p>
        <a:p>
          <a:r>
            <a:rPr lang="en-US" sz="1100" b="0" i="0" u="none"/>
            <a:t>- The boat's horizontal position when</a:t>
          </a:r>
          <a:r>
            <a:rPr lang="en-US" sz="1100" b="0" i="0" u="none" baseline="0"/>
            <a:t> the runner hits the water is </a:t>
          </a:r>
          <a:r>
            <a:rPr lang="en-US" sz="1100" b="0" i="0" u="sng" baseline="0"/>
            <a:t>14m</a:t>
          </a:r>
          <a:r>
            <a:rPr lang="en-US" sz="1100" b="0" i="0" u="none" baseline="0"/>
            <a:t>.</a:t>
          </a:r>
        </a:p>
        <a:p>
          <a:endParaRPr lang="en-US" sz="1100" b="0" i="0" u="none" baseline="0"/>
        </a:p>
        <a:p>
          <a:r>
            <a:rPr lang="en-US" sz="1100" b="0" i="0" u="none"/>
            <a:t>-</a:t>
          </a:r>
          <a:r>
            <a:rPr lang="zh-TW" altLang="en-US" sz="1100" b="0" i="0" u="none"/>
            <a:t> </a:t>
          </a:r>
          <a:r>
            <a:rPr lang="en-US" altLang="zh-TW" sz="1100" b="0" i="0" u="none"/>
            <a:t>The boat</a:t>
          </a:r>
          <a:r>
            <a:rPr lang="en-US" altLang="zh-TW" sz="1100" b="0" i="0" u="none" baseline="0"/>
            <a:t> curve in </a:t>
          </a:r>
          <a:r>
            <a:rPr lang="en-US" altLang="zh-TW" sz="1100" b="0" i="0" u="none"/>
            <a:t>time series plot</a:t>
          </a:r>
          <a:r>
            <a:rPr lang="en-US" altLang="zh-TW" sz="1100" b="0" i="0" u="none" baseline="0"/>
            <a:t> will continue to shift hotizontally as the time goes by.</a:t>
          </a:r>
        </a:p>
        <a:p>
          <a:r>
            <a:rPr lang="en-US" sz="1100" b="0" i="0" u="none" baseline="0"/>
            <a:t>  As to the trajectory plot, the boat hasn't arrived at the position when the runner hits the water and will continue to sail away after the runner is in the water.</a:t>
          </a:r>
          <a:endParaRPr lang="en-US" sz="1100" b="0" i="0" u="none"/>
        </a:p>
      </xdr:txBody>
    </xdr:sp>
    <xdr:clientData/>
  </xdr:twoCellAnchor>
  <xdr:twoCellAnchor>
    <xdr:from>
      <xdr:col>9</xdr:col>
      <xdr:colOff>319616</xdr:colOff>
      <xdr:row>13</xdr:row>
      <xdr:rowOff>16932</xdr:rowOff>
    </xdr:from>
    <xdr:to>
      <xdr:col>22</xdr:col>
      <xdr:colOff>296333</xdr:colOff>
      <xdr:row>27</xdr:row>
      <xdr:rowOff>67733</xdr:rowOff>
    </xdr:to>
    <xdr:sp macro="" textlink="">
      <xdr:nvSpPr>
        <xdr:cNvPr id="7" name="TextBox 6"/>
        <xdr:cNvSpPr txBox="1"/>
      </xdr:nvSpPr>
      <xdr:spPr>
        <a:xfrm>
          <a:off x="14425083" y="2438399"/>
          <a:ext cx="7901517" cy="265853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Answers for Question #9</a:t>
          </a:r>
        </a:p>
        <a:p>
          <a:endParaRPr lang="en-US" sz="1100" b="1" u="sng"/>
        </a:p>
        <a:p>
          <a:r>
            <a:rPr lang="en-US" sz="1100" b="0" u="none"/>
            <a:t>- The boat's</a:t>
          </a:r>
          <a:r>
            <a:rPr lang="en-US" sz="1100" b="0" u="none" baseline="0"/>
            <a:t> head start distance (xo-boat) will increase at a multiple of 10 with the wait time.</a:t>
          </a:r>
        </a:p>
        <a:p>
          <a:endParaRPr lang="en-US" sz="1100" b="0" u="none" baseline="0"/>
        </a:p>
        <a:p>
          <a:r>
            <a:rPr lang="en-US" sz="1100" b="0" u="none" baseline="0"/>
            <a:t>- The horizontal position of the boat will increase with the increasing wait time and along with the head start distance (xo-boat) of the boat.</a:t>
          </a:r>
        </a:p>
        <a:p>
          <a:endParaRPr lang="en-US" sz="1100" b="0" u="none" baseline="0"/>
        </a:p>
        <a:p>
          <a:r>
            <a:rPr lang="en-US" sz="1100" b="0" u="none" baseline="0"/>
            <a:t>- The runner and the boat will get close to each other as we increase the waiting time. The plot of the runner and the boat will cross each other at time = 1.4 seconds, meaning that the x poisition is the same for the runner and the boat.</a:t>
          </a:r>
        </a:p>
        <a:p>
          <a:endParaRPr lang="en-US" sz="1100" b="0" u="none" baseline="0"/>
        </a:p>
        <a:p>
          <a:r>
            <a:rPr lang="en-US" sz="1100" b="0" u="none" baseline="0"/>
            <a:t>- Both plots will eventually cross at a point which will be the time when the runner lands exactly on the boat.</a:t>
          </a:r>
        </a:p>
        <a:p>
          <a:r>
            <a:rPr lang="en-US" sz="1100" b="0" u="none" baseline="0"/>
            <a:t>In the time-series plot, the line for the position of the boat will get clost to each other as the wait time increases.</a:t>
          </a:r>
        </a:p>
        <a:p>
          <a:r>
            <a:rPr lang="en-US" sz="1100" b="0" u="none" baseline="0"/>
            <a:t>For the trajectory plot, the line of the boat position will move toward the runner position and eventually both lines will cross at a specific point which the number will be matched for runner and the boat, indicating that the runner lands exactly on the boat at that position.</a:t>
          </a:r>
        </a:p>
      </xdr:txBody>
    </xdr:sp>
    <xdr:clientData/>
  </xdr:twoCellAnchor>
  <mc:AlternateContent xmlns:mc="http://schemas.openxmlformats.org/markup-compatibility/2006">
    <mc:Choice xmlns:a14="http://schemas.microsoft.com/office/drawing/2010/main" Requires="a14">
      <xdr:twoCellAnchor>
        <xdr:from>
          <xdr:col>6</xdr:col>
          <xdr:colOff>426720</xdr:colOff>
          <xdr:row>14</xdr:row>
          <xdr:rowOff>106680</xdr:rowOff>
        </xdr:from>
        <xdr:to>
          <xdr:col>6</xdr:col>
          <xdr:colOff>1866900</xdr:colOff>
          <xdr:row>19</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rPr>
                <a:t>Optimize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22860</xdr:colOff>
      <xdr:row>27</xdr:row>
      <xdr:rowOff>30480</xdr:rowOff>
    </xdr:from>
    <xdr:to>
      <xdr:col>5</xdr:col>
      <xdr:colOff>228600</xdr:colOff>
      <xdr:row>45</xdr:row>
      <xdr:rowOff>57150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856402</xdr:colOff>
      <xdr:row>26</xdr:row>
      <xdr:rowOff>155151</xdr:rowOff>
    </xdr:from>
    <xdr:to>
      <xdr:col>15</xdr:col>
      <xdr:colOff>342900</xdr:colOff>
      <xdr:row>52</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426720</xdr:colOff>
          <xdr:row>14</xdr:row>
          <xdr:rowOff>106680</xdr:rowOff>
        </xdr:from>
        <xdr:to>
          <xdr:col>6</xdr:col>
          <xdr:colOff>1866900</xdr:colOff>
          <xdr:row>19</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rPr>
                <a:t>Optimize</a:t>
              </a:r>
            </a:p>
          </xdr:txBody>
        </xdr:sp>
        <xdr:clientData fPrintsWithSheet="0"/>
      </xdr:twoCellAnchor>
    </mc:Choice>
    <mc:Fallback/>
  </mc:AlternateContent>
  <xdr:twoCellAnchor>
    <xdr:from>
      <xdr:col>9</xdr:col>
      <xdr:colOff>266700</xdr:colOff>
      <xdr:row>12</xdr:row>
      <xdr:rowOff>142875</xdr:rowOff>
    </xdr:from>
    <xdr:to>
      <xdr:col>22</xdr:col>
      <xdr:colOff>243417</xdr:colOff>
      <xdr:row>27</xdr:row>
      <xdr:rowOff>86784</xdr:rowOff>
    </xdr:to>
    <xdr:sp macro="" textlink="">
      <xdr:nvSpPr>
        <xdr:cNvPr id="7" name="TextBox 6"/>
        <xdr:cNvSpPr txBox="1"/>
      </xdr:nvSpPr>
      <xdr:spPr>
        <a:xfrm>
          <a:off x="14382750" y="2314575"/>
          <a:ext cx="7901517" cy="265853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Answers for Question #9</a:t>
          </a:r>
        </a:p>
        <a:p>
          <a:endParaRPr lang="en-US" sz="1100" b="1" u="sng"/>
        </a:p>
        <a:p>
          <a:r>
            <a:rPr lang="en-US" sz="1100" b="0" u="none"/>
            <a:t>- The boat's</a:t>
          </a:r>
          <a:r>
            <a:rPr lang="en-US" sz="1100" b="0" u="none" baseline="0"/>
            <a:t> head start distance (xo-boat) will increase at a multiple of 10 with the wait time.</a:t>
          </a:r>
        </a:p>
        <a:p>
          <a:endParaRPr lang="en-US" sz="1100" b="0" u="none" baseline="0"/>
        </a:p>
        <a:p>
          <a:r>
            <a:rPr lang="en-US" sz="1100" b="0" u="none" baseline="0"/>
            <a:t>- The horizontal position of the boat will increase with the increasing wait time and along with the head start distance (xo-boat) of the boat.</a:t>
          </a:r>
        </a:p>
        <a:p>
          <a:endParaRPr lang="en-US" sz="1100" b="0" u="none" baseline="0"/>
        </a:p>
        <a:p>
          <a:r>
            <a:rPr lang="en-US" sz="1100" b="0" u="none" baseline="0"/>
            <a:t>- The runner and the boat will get close to each other as we increase the waiting time. The plot of the runner and the boat will cross each other at time = 1.4 seconds, meaning that the x poisition is the same for the runner and the boat.</a:t>
          </a:r>
        </a:p>
        <a:p>
          <a:endParaRPr lang="en-US" sz="1100" b="0" u="none" baseline="0"/>
        </a:p>
        <a:p>
          <a:r>
            <a:rPr lang="en-US" sz="1100" b="0" u="none" baseline="0"/>
            <a:t>- Both plots will eventually cross at a point which will be the time when the runner lands exactly on the boat.</a:t>
          </a:r>
        </a:p>
        <a:p>
          <a:r>
            <a:rPr lang="en-US" sz="1100" b="0" u="none" baseline="0"/>
            <a:t>In the time-series plot, the line for the position of the boat will get clost to each other as the wait time increases.</a:t>
          </a:r>
        </a:p>
        <a:p>
          <a:r>
            <a:rPr lang="en-US" sz="1100" b="0" u="none" baseline="0"/>
            <a:t>For the trajectory plot, the line of the boat position will move toward the runner position and eventually both lines will cross at a specific point which the number will be matched for runner and the boat, indicating that the runner lands exactly on the boat at that position.</a:t>
          </a:r>
        </a:p>
      </xdr:txBody>
    </xdr:sp>
    <xdr:clientData/>
  </xdr:twoCellAnchor>
  <xdr:twoCellAnchor>
    <xdr:from>
      <xdr:col>9</xdr:col>
      <xdr:colOff>291464</xdr:colOff>
      <xdr:row>0</xdr:row>
      <xdr:rowOff>142875</xdr:rowOff>
    </xdr:from>
    <xdr:to>
      <xdr:col>22</xdr:col>
      <xdr:colOff>112606</xdr:colOff>
      <xdr:row>12</xdr:row>
      <xdr:rowOff>88900</xdr:rowOff>
    </xdr:to>
    <xdr:sp macro="" textlink="">
      <xdr:nvSpPr>
        <xdr:cNvPr id="8" name="TextBox 7"/>
        <xdr:cNvSpPr txBox="1"/>
      </xdr:nvSpPr>
      <xdr:spPr>
        <a:xfrm>
          <a:off x="14407514" y="142875"/>
          <a:ext cx="7745942" cy="2117725"/>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sng"/>
            <a:t>Answers</a:t>
          </a:r>
          <a:r>
            <a:rPr lang="en-US" sz="1100" b="1" i="0" u="sng" baseline="0"/>
            <a:t> for Question #7 ( Wait time = 0  seconds)</a:t>
          </a:r>
        </a:p>
        <a:p>
          <a:endParaRPr lang="en-US" sz="1100" b="1" i="0" u="sng" baseline="0"/>
        </a:p>
        <a:p>
          <a:r>
            <a:rPr lang="en-US" sz="1100" b="0" i="0" u="none" baseline="0"/>
            <a:t>- It will take </a:t>
          </a:r>
          <a:r>
            <a:rPr lang="en-US" sz="1100" b="0" i="0" u="sng" baseline="0"/>
            <a:t>1.4 seconds </a:t>
          </a:r>
          <a:r>
            <a:rPr lang="en-US" sz="1100" b="0" i="0" u="none" baseline="0"/>
            <a:t>for the runner to hit the water.</a:t>
          </a:r>
        </a:p>
        <a:p>
          <a:endParaRPr lang="en-US" sz="1100" b="0" i="0" u="none" baseline="0"/>
        </a:p>
        <a:p>
          <a:r>
            <a:rPr lang="en-US" sz="1100" b="0" i="0" u="none" baseline="0"/>
            <a:t>- The runner's horizontal position when hitting the water is </a:t>
          </a:r>
          <a:r>
            <a:rPr lang="en-US" sz="1100" b="0" i="0" u="sng" baseline="0"/>
            <a:t>26.02 m</a:t>
          </a:r>
          <a:r>
            <a:rPr lang="en-US" sz="1100" b="0" i="0" u="none" baseline="0"/>
            <a:t>.</a:t>
          </a:r>
        </a:p>
        <a:p>
          <a:endParaRPr lang="en-US" sz="1100" b="0" i="0" u="none" baseline="0"/>
        </a:p>
        <a:p>
          <a:r>
            <a:rPr lang="en-US" sz="1100" b="0" i="0" u="none"/>
            <a:t>- The boat's horizontal position when</a:t>
          </a:r>
          <a:r>
            <a:rPr lang="en-US" sz="1100" b="0" i="0" u="none" baseline="0"/>
            <a:t> the runner hits the water is </a:t>
          </a:r>
          <a:r>
            <a:rPr lang="en-US" sz="1100" b="0" i="0" u="sng" baseline="0"/>
            <a:t>14m</a:t>
          </a:r>
          <a:r>
            <a:rPr lang="en-US" sz="1100" b="0" i="0" u="none" baseline="0"/>
            <a:t>.</a:t>
          </a:r>
        </a:p>
        <a:p>
          <a:endParaRPr lang="en-US" sz="1100" b="0" i="0" u="none" baseline="0"/>
        </a:p>
        <a:p>
          <a:r>
            <a:rPr lang="en-US" sz="1100" b="0" i="0" u="none"/>
            <a:t>-</a:t>
          </a:r>
          <a:r>
            <a:rPr lang="zh-TW" altLang="en-US" sz="1100" b="0" i="0" u="none"/>
            <a:t> </a:t>
          </a:r>
          <a:r>
            <a:rPr lang="en-US" altLang="zh-TW" sz="1100" b="0" i="0" u="none"/>
            <a:t>The boat</a:t>
          </a:r>
          <a:r>
            <a:rPr lang="en-US" altLang="zh-TW" sz="1100" b="0" i="0" u="none" baseline="0"/>
            <a:t> curve in </a:t>
          </a:r>
          <a:r>
            <a:rPr lang="en-US" altLang="zh-TW" sz="1100" b="0" i="0" u="none"/>
            <a:t>time series plot</a:t>
          </a:r>
          <a:r>
            <a:rPr lang="en-US" altLang="zh-TW" sz="1100" b="0" i="0" u="none" baseline="0"/>
            <a:t> will continue to shift hotizontally as the time goes by.</a:t>
          </a:r>
        </a:p>
        <a:p>
          <a:r>
            <a:rPr lang="en-US" sz="1100" b="0" i="0" u="none" baseline="0"/>
            <a:t>  As to the trajectory plot, the boat hasn't arrived at the position when the runner hits the water and will continue to sail away after the runner is in the water.</a:t>
          </a:r>
          <a:endParaRPr lang="en-US" sz="1100" b="0" i="0" u="none"/>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22"/>
  <sheetViews>
    <sheetView tabSelected="1" zoomScale="90" zoomScaleNormal="90" workbookViewId="0">
      <selection activeCell="H21" sqref="H21"/>
    </sheetView>
  </sheetViews>
  <sheetFormatPr defaultRowHeight="14.4" x14ac:dyDescent="0.3"/>
  <cols>
    <col min="1" max="1" width="10.6640625" style="1" customWidth="1"/>
    <col min="2" max="2" width="28.109375" style="1" customWidth="1"/>
    <col min="3" max="3" width="25.21875" style="1" customWidth="1"/>
    <col min="4" max="4" width="26.33203125" style="1" customWidth="1"/>
    <col min="5" max="5" width="26.44140625" style="1" customWidth="1"/>
    <col min="6" max="6" width="16.33203125" style="1" customWidth="1"/>
    <col min="7" max="7" width="31.5546875" style="1" customWidth="1"/>
    <col min="8" max="8" width="14.44140625" style="1" customWidth="1"/>
    <col min="9" max="9" width="26.6640625" style="1" customWidth="1"/>
    <col min="10" max="16384" width="8.88671875" style="1"/>
  </cols>
  <sheetData>
    <row r="1" spans="1:9" x14ac:dyDescent="0.3">
      <c r="A1" s="4" t="s">
        <v>0</v>
      </c>
      <c r="B1" s="3" t="s">
        <v>14</v>
      </c>
      <c r="C1" s="3" t="s">
        <v>11</v>
      </c>
      <c r="D1" s="6" t="s">
        <v>12</v>
      </c>
      <c r="E1" s="6" t="s">
        <v>13</v>
      </c>
      <c r="G1" s="5" t="s">
        <v>1</v>
      </c>
      <c r="H1" s="1">
        <v>20</v>
      </c>
    </row>
    <row r="2" spans="1:9" x14ac:dyDescent="0.3">
      <c r="A2" s="1">
        <v>0</v>
      </c>
      <c r="B2" s="1">
        <f>$H$3*A2+$H$1</f>
        <v>20</v>
      </c>
      <c r="C2" s="1">
        <f>$H$4*A2-(1/2)*$H$6*(A2^2)+$H$2</f>
        <v>9.6137999999999995</v>
      </c>
      <c r="D2" s="1">
        <f>$H$5*A2+$H$10</f>
        <v>12.019999999999998</v>
      </c>
      <c r="E2" s="1">
        <f>-(1/2)*$H$7*(A2^2)</f>
        <v>0</v>
      </c>
      <c r="G2" s="5" t="s">
        <v>2</v>
      </c>
      <c r="H2" s="1">
        <v>9.6137999999999995</v>
      </c>
    </row>
    <row r="3" spans="1:9" x14ac:dyDescent="0.3">
      <c r="A3" s="1">
        <v>0.1</v>
      </c>
      <c r="B3" s="1">
        <f t="shared" ref="B3:B22" si="0">$H$3*A3+$H$1</f>
        <v>20.43</v>
      </c>
      <c r="C3" s="1">
        <f t="shared" ref="C3:C22" si="1">$H$4*A3-(1/2)*$H$6*(A3^2)+$H$2</f>
        <v>9.5647500000000001</v>
      </c>
      <c r="D3" s="1">
        <f t="shared" ref="D3:D22" si="2">$H$5*A3+$H$10</f>
        <v>13.019999999999998</v>
      </c>
      <c r="E3" s="1">
        <f t="shared" ref="E3:E22" si="3">-(1/2)*$H$7*(A3^2)</f>
        <v>0</v>
      </c>
      <c r="G3" s="5" t="s">
        <v>3</v>
      </c>
      <c r="H3" s="1">
        <v>4.3</v>
      </c>
    </row>
    <row r="4" spans="1:9" x14ac:dyDescent="0.3">
      <c r="A4" s="1">
        <v>0.2</v>
      </c>
      <c r="B4" s="1">
        <f t="shared" si="0"/>
        <v>20.86</v>
      </c>
      <c r="C4" s="1">
        <f t="shared" si="1"/>
        <v>9.4176000000000002</v>
      </c>
      <c r="D4" s="1">
        <f t="shared" si="2"/>
        <v>14.019999999999998</v>
      </c>
      <c r="E4" s="1">
        <f t="shared" si="3"/>
        <v>0</v>
      </c>
      <c r="G4" s="5" t="s">
        <v>4</v>
      </c>
      <c r="H4" s="1">
        <v>0</v>
      </c>
    </row>
    <row r="5" spans="1:9" x14ac:dyDescent="0.3">
      <c r="A5" s="1">
        <v>0.3</v>
      </c>
      <c r="B5" s="1">
        <f t="shared" si="0"/>
        <v>21.29</v>
      </c>
      <c r="C5" s="1">
        <f>$H$4*A5-(1/2)*$H$6*(A5^2)+$H$2</f>
        <v>9.1723499999999998</v>
      </c>
      <c r="D5" s="1">
        <f t="shared" si="2"/>
        <v>15.019999999999998</v>
      </c>
      <c r="E5" s="1">
        <f t="shared" si="3"/>
        <v>0</v>
      </c>
      <c r="G5" s="7" t="s">
        <v>5</v>
      </c>
      <c r="H5" s="1">
        <v>10</v>
      </c>
    </row>
    <row r="6" spans="1:9" x14ac:dyDescent="0.3">
      <c r="A6" s="1">
        <v>0.4</v>
      </c>
      <c r="B6" s="1">
        <f t="shared" si="0"/>
        <v>21.72</v>
      </c>
      <c r="C6" s="1">
        <f t="shared" si="1"/>
        <v>8.8289999999999988</v>
      </c>
      <c r="D6" s="1">
        <f t="shared" si="2"/>
        <v>16.019999999999996</v>
      </c>
      <c r="E6" s="1">
        <f t="shared" si="3"/>
        <v>0</v>
      </c>
      <c r="G6" s="2" t="s">
        <v>6</v>
      </c>
      <c r="H6" s="1">
        <v>9.81</v>
      </c>
    </row>
    <row r="7" spans="1:9" x14ac:dyDescent="0.3">
      <c r="A7" s="1">
        <v>0.5</v>
      </c>
      <c r="B7" s="1">
        <f t="shared" si="0"/>
        <v>22.15</v>
      </c>
      <c r="C7" s="1">
        <f t="shared" si="1"/>
        <v>8.3875499999999992</v>
      </c>
      <c r="D7" s="1">
        <f t="shared" si="2"/>
        <v>17.019999999999996</v>
      </c>
      <c r="E7" s="1">
        <f t="shared" si="3"/>
        <v>0</v>
      </c>
      <c r="G7" s="9" t="s">
        <v>15</v>
      </c>
      <c r="H7" s="1">
        <v>0</v>
      </c>
    </row>
    <row r="8" spans="1:9" x14ac:dyDescent="0.3">
      <c r="A8" s="1">
        <v>0.6</v>
      </c>
      <c r="B8" s="1">
        <f t="shared" si="0"/>
        <v>22.58</v>
      </c>
      <c r="C8" s="1">
        <f t="shared" si="1"/>
        <v>7.847999999999999</v>
      </c>
      <c r="D8" s="1">
        <f t="shared" si="2"/>
        <v>18.019999999999996</v>
      </c>
      <c r="E8" s="1">
        <f t="shared" si="3"/>
        <v>0</v>
      </c>
    </row>
    <row r="9" spans="1:9" x14ac:dyDescent="0.3">
      <c r="A9" s="1">
        <v>0.7</v>
      </c>
      <c r="B9" s="1">
        <f t="shared" si="0"/>
        <v>23.009999999999998</v>
      </c>
      <c r="C9" s="1">
        <f t="shared" si="1"/>
        <v>7.21035</v>
      </c>
      <c r="D9" s="1">
        <f>$H$5*A9+$H$10</f>
        <v>19.019999999999996</v>
      </c>
      <c r="E9" s="1">
        <f t="shared" si="3"/>
        <v>0</v>
      </c>
      <c r="G9" s="2" t="s">
        <v>7</v>
      </c>
      <c r="H9" s="1">
        <v>1.2019999999999997</v>
      </c>
    </row>
    <row r="10" spans="1:9" x14ac:dyDescent="0.3">
      <c r="A10" s="1">
        <v>0.8</v>
      </c>
      <c r="B10" s="1">
        <f t="shared" si="0"/>
        <v>23.44</v>
      </c>
      <c r="C10" s="1">
        <f t="shared" si="1"/>
        <v>6.4745999999999988</v>
      </c>
      <c r="D10" s="1">
        <f t="shared" si="2"/>
        <v>20.019999999999996</v>
      </c>
      <c r="E10" s="1">
        <f t="shared" si="3"/>
        <v>0</v>
      </c>
      <c r="G10" s="7" t="s">
        <v>8</v>
      </c>
      <c r="H10" s="1">
        <f>H5*H9</f>
        <v>12.019999999999998</v>
      </c>
      <c r="I10" s="1" t="s">
        <v>10</v>
      </c>
    </row>
    <row r="11" spans="1:9" x14ac:dyDescent="0.3">
      <c r="A11" s="1">
        <v>0.9</v>
      </c>
      <c r="B11" s="1">
        <f t="shared" si="0"/>
        <v>23.87</v>
      </c>
      <c r="C11" s="1">
        <f t="shared" si="1"/>
        <v>5.6407499999999988</v>
      </c>
      <c r="D11" s="1">
        <f t="shared" si="2"/>
        <v>21.019999999999996</v>
      </c>
      <c r="E11" s="1">
        <f t="shared" si="3"/>
        <v>0</v>
      </c>
      <c r="G11" s="2" t="s">
        <v>9</v>
      </c>
      <c r="H11" s="1">
        <f ca="1">ABS(INDIRECT(ADDRESS(MATCH(0,$C$1:$C$22,0),2))-INDIRECT(ADDRESS(MATCH(0,$C$1:$C$22,0),4)))</f>
        <v>3.5527136788005009E-15</v>
      </c>
      <c r="I11" s="1" t="s">
        <v>16</v>
      </c>
    </row>
    <row r="12" spans="1:9" x14ac:dyDescent="0.3">
      <c r="A12" s="1">
        <v>1</v>
      </c>
      <c r="B12" s="1">
        <f t="shared" si="0"/>
        <v>24.3</v>
      </c>
      <c r="C12" s="1">
        <f t="shared" si="1"/>
        <v>4.7087999999999992</v>
      </c>
      <c r="D12" s="1">
        <f t="shared" si="2"/>
        <v>22.019999999999996</v>
      </c>
      <c r="E12" s="1">
        <f t="shared" si="3"/>
        <v>0</v>
      </c>
    </row>
    <row r="13" spans="1:9" x14ac:dyDescent="0.3">
      <c r="A13" s="1">
        <v>1.1000000000000001</v>
      </c>
      <c r="B13" s="1">
        <f t="shared" si="0"/>
        <v>24.73</v>
      </c>
      <c r="C13" s="1">
        <f t="shared" si="1"/>
        <v>3.6787499999999982</v>
      </c>
      <c r="D13" s="1">
        <f t="shared" si="2"/>
        <v>23.019999999999996</v>
      </c>
      <c r="E13" s="1">
        <f t="shared" si="3"/>
        <v>0</v>
      </c>
    </row>
    <row r="14" spans="1:9" x14ac:dyDescent="0.3">
      <c r="A14" s="1">
        <v>1.2</v>
      </c>
      <c r="B14" s="1">
        <f t="shared" si="0"/>
        <v>25.16</v>
      </c>
      <c r="C14" s="1">
        <f t="shared" si="1"/>
        <v>2.5505999999999993</v>
      </c>
      <c r="D14" s="1">
        <f t="shared" si="2"/>
        <v>24.019999999999996</v>
      </c>
      <c r="E14" s="1">
        <f t="shared" si="3"/>
        <v>0</v>
      </c>
    </row>
    <row r="15" spans="1:9" x14ac:dyDescent="0.3">
      <c r="A15" s="1">
        <v>1.3</v>
      </c>
      <c r="B15" s="1">
        <f t="shared" si="0"/>
        <v>25.59</v>
      </c>
      <c r="C15" s="1">
        <f t="shared" si="1"/>
        <v>1.324349999999999</v>
      </c>
      <c r="D15" s="1">
        <f t="shared" si="2"/>
        <v>25.019999999999996</v>
      </c>
      <c r="E15" s="1">
        <f t="shared" si="3"/>
        <v>0</v>
      </c>
    </row>
    <row r="16" spans="1:9" x14ac:dyDescent="0.3">
      <c r="A16" s="8">
        <v>1.4</v>
      </c>
      <c r="B16" s="8">
        <f t="shared" si="0"/>
        <v>26.02</v>
      </c>
      <c r="C16" s="8">
        <f t="shared" si="1"/>
        <v>0</v>
      </c>
      <c r="D16" s="8">
        <f t="shared" si="2"/>
        <v>26.019999999999996</v>
      </c>
      <c r="E16" s="8">
        <f t="shared" si="3"/>
        <v>0</v>
      </c>
    </row>
    <row r="17" spans="1:5" x14ac:dyDescent="0.3">
      <c r="A17" s="1">
        <v>1.5</v>
      </c>
      <c r="B17" s="1">
        <f t="shared" si="0"/>
        <v>26.45</v>
      </c>
      <c r="C17" s="1">
        <f>$H$4*A17-(1/2)*$H$6*(A17^2)+$H$2</f>
        <v>-1.4224500000000013</v>
      </c>
      <c r="D17" s="1">
        <f t="shared" si="2"/>
        <v>27.019999999999996</v>
      </c>
      <c r="E17" s="1">
        <f t="shared" si="3"/>
        <v>0</v>
      </c>
    </row>
    <row r="18" spans="1:5" x14ac:dyDescent="0.3">
      <c r="A18" s="1">
        <v>1.6</v>
      </c>
      <c r="B18" s="1">
        <f t="shared" si="0"/>
        <v>26.88</v>
      </c>
      <c r="C18" s="1">
        <f t="shared" si="1"/>
        <v>-2.9430000000000032</v>
      </c>
      <c r="D18" s="1">
        <f t="shared" si="2"/>
        <v>28.019999999999996</v>
      </c>
      <c r="E18" s="1">
        <f t="shared" si="3"/>
        <v>0</v>
      </c>
    </row>
    <row r="19" spans="1:5" x14ac:dyDescent="0.3">
      <c r="A19" s="1">
        <v>1.7</v>
      </c>
      <c r="B19" s="1">
        <f t="shared" si="0"/>
        <v>27.31</v>
      </c>
      <c r="C19" s="1">
        <f t="shared" si="1"/>
        <v>-4.5616500000000002</v>
      </c>
      <c r="D19" s="1">
        <f t="shared" si="2"/>
        <v>29.019999999999996</v>
      </c>
      <c r="E19" s="1">
        <f t="shared" si="3"/>
        <v>0</v>
      </c>
    </row>
    <row r="20" spans="1:5" x14ac:dyDescent="0.3">
      <c r="A20" s="1">
        <v>1.8</v>
      </c>
      <c r="B20" s="1">
        <f t="shared" si="0"/>
        <v>27.740000000000002</v>
      </c>
      <c r="C20" s="1">
        <f t="shared" si="1"/>
        <v>-6.2784000000000031</v>
      </c>
      <c r="D20" s="1">
        <f t="shared" si="2"/>
        <v>30.019999999999996</v>
      </c>
      <c r="E20" s="1">
        <f t="shared" si="3"/>
        <v>0</v>
      </c>
    </row>
    <row r="21" spans="1:5" x14ac:dyDescent="0.3">
      <c r="A21" s="1">
        <v>1.9</v>
      </c>
      <c r="B21" s="1">
        <f t="shared" si="0"/>
        <v>28.17</v>
      </c>
      <c r="C21" s="1">
        <f t="shared" si="1"/>
        <v>-8.0932499999999994</v>
      </c>
      <c r="D21" s="1">
        <f t="shared" si="2"/>
        <v>31.019999999999996</v>
      </c>
      <c r="E21" s="1">
        <f t="shared" si="3"/>
        <v>0</v>
      </c>
    </row>
    <row r="22" spans="1:5" x14ac:dyDescent="0.3">
      <c r="A22" s="1">
        <v>2</v>
      </c>
      <c r="B22" s="1">
        <f t="shared" si="0"/>
        <v>28.6</v>
      </c>
      <c r="C22" s="1">
        <f t="shared" si="1"/>
        <v>-10.006200000000002</v>
      </c>
      <c r="D22" s="1">
        <f t="shared" si="2"/>
        <v>32.019999999999996</v>
      </c>
      <c r="E22" s="1">
        <f t="shared" si="3"/>
        <v>0</v>
      </c>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Optimize">
                <anchor moveWithCells="1" sizeWithCells="1">
                  <from>
                    <xdr:col>6</xdr:col>
                    <xdr:colOff>426720</xdr:colOff>
                    <xdr:row>14</xdr:row>
                    <xdr:rowOff>106680</xdr:rowOff>
                  </from>
                  <to>
                    <xdr:col>6</xdr:col>
                    <xdr:colOff>1866900</xdr:colOff>
                    <xdr:row>19</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22"/>
  <sheetViews>
    <sheetView zoomScale="80" zoomScaleNormal="80" workbookViewId="0">
      <selection activeCell="H11" sqref="H11"/>
    </sheetView>
  </sheetViews>
  <sheetFormatPr defaultRowHeight="14.4" x14ac:dyDescent="0.3"/>
  <cols>
    <col min="1" max="1" width="10.6640625" style="1" customWidth="1"/>
    <col min="2" max="2" width="28.109375" style="1" customWidth="1"/>
    <col min="3" max="3" width="25.21875" style="1" customWidth="1"/>
    <col min="4" max="4" width="26.33203125" style="1" customWidth="1"/>
    <col min="5" max="5" width="26.44140625" style="1" customWidth="1"/>
    <col min="6" max="6" width="16.33203125" style="1" customWidth="1"/>
    <col min="7" max="7" width="31.5546875" style="1" customWidth="1"/>
    <col min="8" max="8" width="14.44140625" style="1" customWidth="1"/>
    <col min="9" max="9" width="26.6640625" style="1" customWidth="1"/>
    <col min="10" max="16384" width="8.88671875" style="1"/>
  </cols>
  <sheetData>
    <row r="1" spans="1:9" x14ac:dyDescent="0.3">
      <c r="A1" s="4" t="s">
        <v>0</v>
      </c>
      <c r="B1" s="3" t="s">
        <v>14</v>
      </c>
      <c r="C1" s="3" t="s">
        <v>11</v>
      </c>
      <c r="D1" s="6" t="s">
        <v>12</v>
      </c>
      <c r="E1" s="6" t="s">
        <v>13</v>
      </c>
      <c r="G1" s="5" t="s">
        <v>1</v>
      </c>
      <c r="H1" s="1">
        <v>20</v>
      </c>
    </row>
    <row r="2" spans="1:9" x14ac:dyDescent="0.3">
      <c r="A2" s="1">
        <v>0</v>
      </c>
      <c r="B2" s="1">
        <f>$H$3*A2+$H$1</f>
        <v>20</v>
      </c>
      <c r="C2" s="1">
        <f>$H$4*A2-(1/2)*$H$6*(A2^2)+$H$2</f>
        <v>9.6137999999999995</v>
      </c>
      <c r="D2" s="1">
        <f>$H$5*A2+$H$10</f>
        <v>12.019999999999998</v>
      </c>
      <c r="E2" s="1">
        <f>-(1/2)*$H$7*(A2^2)</f>
        <v>0</v>
      </c>
      <c r="G2" s="5" t="s">
        <v>2</v>
      </c>
      <c r="H2" s="1">
        <v>9.6137999999999995</v>
      </c>
    </row>
    <row r="3" spans="1:9" x14ac:dyDescent="0.3">
      <c r="A3" s="1">
        <v>0.1</v>
      </c>
      <c r="B3" s="1">
        <f t="shared" ref="B3:B22" si="0">$H$3*A3+$H$1</f>
        <v>20.43</v>
      </c>
      <c r="C3" s="1">
        <f t="shared" ref="C3:C22" si="1">$H$4*A3-(1/2)*$H$6*(A3^2)+$H$2</f>
        <v>9.5647500000000001</v>
      </c>
      <c r="D3" s="1">
        <f t="shared" ref="D3:D22" si="2">$H$5*A3+$H$10</f>
        <v>13.019999999999998</v>
      </c>
      <c r="E3" s="1">
        <f t="shared" ref="E3:E22" si="3">-(1/2)*$H$7*(A3^2)</f>
        <v>0</v>
      </c>
      <c r="G3" s="5" t="s">
        <v>3</v>
      </c>
      <c r="H3" s="1">
        <v>4.3</v>
      </c>
    </row>
    <row r="4" spans="1:9" x14ac:dyDescent="0.3">
      <c r="A4" s="1">
        <v>0.2</v>
      </c>
      <c r="B4" s="1">
        <f t="shared" si="0"/>
        <v>20.86</v>
      </c>
      <c r="C4" s="1">
        <f t="shared" si="1"/>
        <v>9.4176000000000002</v>
      </c>
      <c r="D4" s="1">
        <f t="shared" si="2"/>
        <v>14.019999999999998</v>
      </c>
      <c r="E4" s="1">
        <f t="shared" si="3"/>
        <v>0</v>
      </c>
      <c r="G4" s="5" t="s">
        <v>4</v>
      </c>
      <c r="H4" s="1">
        <v>0</v>
      </c>
    </row>
    <row r="5" spans="1:9" x14ac:dyDescent="0.3">
      <c r="A5" s="1">
        <v>0.3</v>
      </c>
      <c r="B5" s="1">
        <f t="shared" si="0"/>
        <v>21.29</v>
      </c>
      <c r="C5" s="1">
        <f>$H$4*A5-(1/2)*$H$6*(A5^2)+$H$2</f>
        <v>9.1723499999999998</v>
      </c>
      <c r="D5" s="1">
        <f t="shared" si="2"/>
        <v>15.019999999999998</v>
      </c>
      <c r="E5" s="1">
        <f t="shared" si="3"/>
        <v>0</v>
      </c>
      <c r="G5" s="7" t="s">
        <v>5</v>
      </c>
      <c r="H5" s="1">
        <v>10</v>
      </c>
    </row>
    <row r="6" spans="1:9" x14ac:dyDescent="0.3">
      <c r="A6" s="1">
        <v>0.4</v>
      </c>
      <c r="B6" s="1">
        <f t="shared" si="0"/>
        <v>21.72</v>
      </c>
      <c r="C6" s="1">
        <f t="shared" si="1"/>
        <v>8.8289999999999988</v>
      </c>
      <c r="D6" s="1">
        <f t="shared" si="2"/>
        <v>16.019999999999996</v>
      </c>
      <c r="E6" s="1">
        <f t="shared" si="3"/>
        <v>0</v>
      </c>
      <c r="G6" s="2" t="s">
        <v>6</v>
      </c>
      <c r="H6" s="1">
        <v>9.81</v>
      </c>
    </row>
    <row r="7" spans="1:9" x14ac:dyDescent="0.3">
      <c r="A7" s="1">
        <v>0.5</v>
      </c>
      <c r="B7" s="1">
        <f t="shared" si="0"/>
        <v>22.15</v>
      </c>
      <c r="C7" s="1">
        <f t="shared" si="1"/>
        <v>8.3875499999999992</v>
      </c>
      <c r="D7" s="1">
        <f t="shared" si="2"/>
        <v>17.019999999999996</v>
      </c>
      <c r="E7" s="1">
        <f t="shared" si="3"/>
        <v>0</v>
      </c>
      <c r="G7" s="9" t="s">
        <v>15</v>
      </c>
      <c r="H7" s="1">
        <v>0</v>
      </c>
    </row>
    <row r="8" spans="1:9" x14ac:dyDescent="0.3">
      <c r="A8" s="1">
        <v>0.6</v>
      </c>
      <c r="B8" s="1">
        <f t="shared" si="0"/>
        <v>22.58</v>
      </c>
      <c r="C8" s="1">
        <f t="shared" si="1"/>
        <v>7.847999999999999</v>
      </c>
      <c r="D8" s="1">
        <f t="shared" si="2"/>
        <v>18.019999999999996</v>
      </c>
      <c r="E8" s="1">
        <f t="shared" si="3"/>
        <v>0</v>
      </c>
    </row>
    <row r="9" spans="1:9" x14ac:dyDescent="0.3">
      <c r="A9" s="1">
        <v>0.7</v>
      </c>
      <c r="B9" s="1">
        <f t="shared" si="0"/>
        <v>23.009999999999998</v>
      </c>
      <c r="C9" s="1">
        <f t="shared" si="1"/>
        <v>7.21035</v>
      </c>
      <c r="D9" s="1">
        <f t="shared" si="2"/>
        <v>19.019999999999996</v>
      </c>
      <c r="E9" s="1">
        <f t="shared" si="3"/>
        <v>0</v>
      </c>
      <c r="G9" s="2" t="s">
        <v>7</v>
      </c>
      <c r="H9" s="1">
        <v>1.2019999999999997</v>
      </c>
    </row>
    <row r="10" spans="1:9" x14ac:dyDescent="0.3">
      <c r="A10" s="1">
        <v>0.8</v>
      </c>
      <c r="B10" s="1">
        <f t="shared" si="0"/>
        <v>23.44</v>
      </c>
      <c r="C10" s="1">
        <f t="shared" si="1"/>
        <v>6.4745999999999988</v>
      </c>
      <c r="D10" s="1">
        <f t="shared" si="2"/>
        <v>20.019999999999996</v>
      </c>
      <c r="E10" s="1">
        <f t="shared" si="3"/>
        <v>0</v>
      </c>
      <c r="G10" s="7" t="s">
        <v>8</v>
      </c>
      <c r="H10" s="1">
        <f>H5*H9</f>
        <v>12.019999999999998</v>
      </c>
      <c r="I10" s="1" t="s">
        <v>10</v>
      </c>
    </row>
    <row r="11" spans="1:9" x14ac:dyDescent="0.3">
      <c r="A11" s="1">
        <v>0.9</v>
      </c>
      <c r="B11" s="1">
        <f t="shared" si="0"/>
        <v>23.87</v>
      </c>
      <c r="C11" s="1">
        <f t="shared" si="1"/>
        <v>5.6407499999999988</v>
      </c>
      <c r="D11" s="1">
        <f t="shared" si="2"/>
        <v>21.019999999999996</v>
      </c>
      <c r="E11" s="1">
        <f t="shared" si="3"/>
        <v>0</v>
      </c>
      <c r="G11" s="2" t="s">
        <v>9</v>
      </c>
      <c r="H11" s="1">
        <f>B16-D16</f>
        <v>0</v>
      </c>
    </row>
    <row r="12" spans="1:9" x14ac:dyDescent="0.3">
      <c r="A12" s="1">
        <v>1</v>
      </c>
      <c r="B12" s="1">
        <f t="shared" si="0"/>
        <v>24.3</v>
      </c>
      <c r="C12" s="1">
        <f t="shared" si="1"/>
        <v>4.7087999999999992</v>
      </c>
      <c r="D12" s="1">
        <f t="shared" si="2"/>
        <v>22.019999999999996</v>
      </c>
      <c r="E12" s="1">
        <f t="shared" si="3"/>
        <v>0</v>
      </c>
    </row>
    <row r="13" spans="1:9" x14ac:dyDescent="0.3">
      <c r="A13" s="1">
        <v>1.1000000000000001</v>
      </c>
      <c r="B13" s="1">
        <f t="shared" si="0"/>
        <v>24.73</v>
      </c>
      <c r="C13" s="1">
        <f t="shared" si="1"/>
        <v>3.6787499999999982</v>
      </c>
      <c r="D13" s="1">
        <f t="shared" si="2"/>
        <v>23.019999999999996</v>
      </c>
      <c r="E13" s="1">
        <f t="shared" si="3"/>
        <v>0</v>
      </c>
    </row>
    <row r="14" spans="1:9" x14ac:dyDescent="0.3">
      <c r="A14" s="1">
        <v>1.2</v>
      </c>
      <c r="B14" s="1">
        <f t="shared" si="0"/>
        <v>25.16</v>
      </c>
      <c r="C14" s="1">
        <f t="shared" si="1"/>
        <v>2.5505999999999993</v>
      </c>
      <c r="D14" s="1">
        <f t="shared" si="2"/>
        <v>24.019999999999996</v>
      </c>
      <c r="E14" s="1">
        <f t="shared" si="3"/>
        <v>0</v>
      </c>
    </row>
    <row r="15" spans="1:9" x14ac:dyDescent="0.3">
      <c r="A15" s="1">
        <v>1.3</v>
      </c>
      <c r="B15" s="1">
        <f t="shared" si="0"/>
        <v>25.59</v>
      </c>
      <c r="C15" s="1">
        <f t="shared" si="1"/>
        <v>1.324349999999999</v>
      </c>
      <c r="D15" s="1">
        <f t="shared" si="2"/>
        <v>25.019999999999996</v>
      </c>
      <c r="E15" s="1">
        <f t="shared" si="3"/>
        <v>0</v>
      </c>
    </row>
    <row r="16" spans="1:9" x14ac:dyDescent="0.3">
      <c r="A16" s="8">
        <v>1.4</v>
      </c>
      <c r="B16" s="8">
        <f t="shared" si="0"/>
        <v>26.02</v>
      </c>
      <c r="C16" s="8">
        <f t="shared" si="1"/>
        <v>0</v>
      </c>
      <c r="D16" s="8">
        <f t="shared" si="2"/>
        <v>26.019999999999996</v>
      </c>
      <c r="E16" s="8">
        <f t="shared" si="3"/>
        <v>0</v>
      </c>
    </row>
    <row r="17" spans="1:5" x14ac:dyDescent="0.3">
      <c r="A17" s="1">
        <v>1.5</v>
      </c>
      <c r="B17" s="1">
        <f t="shared" si="0"/>
        <v>26.45</v>
      </c>
      <c r="C17" s="1">
        <f>$H$4*A17-(1/2)*$H$6*(A17^2)+$H$2</f>
        <v>-1.4224500000000013</v>
      </c>
      <c r="D17" s="1">
        <f t="shared" si="2"/>
        <v>27.019999999999996</v>
      </c>
      <c r="E17" s="1">
        <f t="shared" si="3"/>
        <v>0</v>
      </c>
    </row>
    <row r="18" spans="1:5" x14ac:dyDescent="0.3">
      <c r="A18" s="1">
        <v>1.6</v>
      </c>
      <c r="B18" s="1">
        <f t="shared" si="0"/>
        <v>26.88</v>
      </c>
      <c r="C18" s="1">
        <f t="shared" si="1"/>
        <v>-2.9430000000000032</v>
      </c>
      <c r="D18" s="1">
        <f t="shared" si="2"/>
        <v>28.019999999999996</v>
      </c>
      <c r="E18" s="1">
        <f t="shared" si="3"/>
        <v>0</v>
      </c>
    </row>
    <row r="19" spans="1:5" x14ac:dyDescent="0.3">
      <c r="A19" s="1">
        <v>1.7</v>
      </c>
      <c r="B19" s="1">
        <f t="shared" si="0"/>
        <v>27.31</v>
      </c>
      <c r="C19" s="1">
        <f t="shared" si="1"/>
        <v>-4.5616500000000002</v>
      </c>
      <c r="D19" s="1">
        <f t="shared" si="2"/>
        <v>29.019999999999996</v>
      </c>
      <c r="E19" s="1">
        <f t="shared" si="3"/>
        <v>0</v>
      </c>
    </row>
    <row r="20" spans="1:5" x14ac:dyDescent="0.3">
      <c r="A20" s="1">
        <v>1.8</v>
      </c>
      <c r="B20" s="1">
        <f t="shared" si="0"/>
        <v>27.740000000000002</v>
      </c>
      <c r="C20" s="1">
        <f t="shared" si="1"/>
        <v>-6.2784000000000031</v>
      </c>
      <c r="D20" s="1">
        <f t="shared" si="2"/>
        <v>30.019999999999996</v>
      </c>
      <c r="E20" s="1">
        <f t="shared" si="3"/>
        <v>0</v>
      </c>
    </row>
    <row r="21" spans="1:5" x14ac:dyDescent="0.3">
      <c r="A21" s="1">
        <v>1.9</v>
      </c>
      <c r="B21" s="1">
        <f t="shared" si="0"/>
        <v>28.17</v>
      </c>
      <c r="C21" s="1">
        <f t="shared" si="1"/>
        <v>-8.0932499999999994</v>
      </c>
      <c r="D21" s="1">
        <f t="shared" si="2"/>
        <v>31.019999999999996</v>
      </c>
      <c r="E21" s="1">
        <f t="shared" si="3"/>
        <v>0</v>
      </c>
    </row>
    <row r="22" spans="1:5" x14ac:dyDescent="0.3">
      <c r="A22" s="1">
        <v>2</v>
      </c>
      <c r="B22" s="1">
        <f t="shared" si="0"/>
        <v>28.6</v>
      </c>
      <c r="C22" s="1">
        <f t="shared" si="1"/>
        <v>-10.006200000000002</v>
      </c>
      <c r="D22" s="1">
        <f t="shared" si="2"/>
        <v>32.019999999999996</v>
      </c>
      <c r="E22" s="1">
        <f t="shared" si="3"/>
        <v>0</v>
      </c>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Optimize">
                <anchor moveWithCells="1" sizeWithCells="1">
                  <from>
                    <xdr:col>6</xdr:col>
                    <xdr:colOff>426720</xdr:colOff>
                    <xdr:row>14</xdr:row>
                    <xdr:rowOff>106680</xdr:rowOff>
                  </from>
                  <to>
                    <xdr:col>6</xdr:col>
                    <xdr:colOff>1866900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First Method</vt:lpstr>
      <vt:lpstr>Second Method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Amy Lin</dc:creator>
  <cp:lastModifiedBy>Amy Lin</cp:lastModifiedBy>
  <dcterms:created xsi:type="dcterms:W3CDTF">2015-09-02T14:58:11Z</dcterms:created>
  <dcterms:modified xsi:type="dcterms:W3CDTF">2015-09-04T02:34:52Z</dcterms:modified>
</cp:coreProperties>
</file>